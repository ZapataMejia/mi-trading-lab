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Día a día" sheetId="2" state="visible" r:id="rId2"/>
    <sheet xmlns:r="http://schemas.openxmlformats.org/officeDocument/2006/relationships" name="Bots" sheetId="3" state="visible" r:id="rId3"/>
    <sheet xmlns:r="http://schemas.openxmlformats.org/officeDocument/2006/relationships" name="Backtest Mayo 2026" sheetId="4" state="visible" r:id="rId4"/>
  </sheets>
  <definedNames>
    <definedName name="_xlnm._FilterDatabase" localSheetId="1" hidden="1">'Día a día'!$A$1:$Y$32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dd/mm/yyyy"/>
    <numFmt numFmtId="166" formatCode="0.0%"/>
    <numFmt numFmtId="167" formatCode="&quot;$&quot;#,##0.00;[Red]-&quot;$&quot;#,##0.00;&quot;$&quot;0.00"/>
    <numFmt numFmtId="168" formatCode="&quot;$&quot;#,##0.00;[Red]-&quot;$&quot;#,##0.00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sz val="11"/>
    </font>
    <font>
      <name val="Calibri"/>
      <sz val="11"/>
    </font>
    <font>
      <name val="Calibri"/>
      <b val="1"/>
      <color rgb="001E3A8A"/>
      <sz val="20"/>
    </font>
    <font>
      <name val="Calibri"/>
      <i val="1"/>
      <color rgb="00475569"/>
      <sz val="12"/>
    </font>
    <font>
      <name val="Calibri"/>
      <b val="1"/>
      <color rgb="001E3A8A"/>
      <sz val="14"/>
    </font>
    <font>
      <b val="1"/>
      <color rgb="00166534"/>
    </font>
    <font>
      <b val="1"/>
      <color rgb="00B91C1C"/>
    </font>
  </fonts>
  <fills count="5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F4F6FA"/>
      </patternFill>
    </fill>
    <fill>
      <patternFill patternType="solid">
        <fgColor rgb="00E8EAF1"/>
      </patternFill>
    </fill>
  </fills>
  <borders count="6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  <border>
      <left/>
      <right/>
      <top style="thin">
        <color rgb="00D0D7DE"/>
      </top>
      <bottom/>
      <diagonal/>
    </border>
    <border>
      <left/>
      <right style="thin">
        <color rgb="00D0D7DE"/>
      </right>
      <top style="thin">
        <color rgb="00D0D7DE"/>
      </top>
      <bottom/>
      <diagonal/>
    </border>
    <border>
      <left/>
      <right/>
      <top style="thin">
        <color rgb="00D0D7DE"/>
      </top>
      <bottom style="thin">
        <color rgb="00D0D7DE"/>
      </bottom>
      <diagonal/>
    </border>
    <border>
      <left/>
      <right style="thin">
        <color rgb="00D0D7DE"/>
      </right>
      <top style="thin">
        <color rgb="00D0D7DE"/>
      </top>
      <bottom style="thin">
        <color rgb="00D0D7DE"/>
      </bottom>
      <diagonal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6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1" fontId="2" fillId="3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 wrapText="1"/>
    </xf>
    <xf numFmtId="1" fontId="2" fillId="0" borderId="1" applyAlignment="1" pivotButton="0" quotePrefix="0" xfId="0">
      <alignment horizontal="right" vertical="center"/>
    </xf>
    <xf numFmtId="168" fontId="2" fillId="3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166" fontId="2" fillId="3" borderId="1" applyAlignment="1" pivotButton="0" quotePrefix="0" xfId="0">
      <alignment horizontal="right" vertical="center"/>
    </xf>
    <xf numFmtId="168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 wrapText="1"/>
    </xf>
    <xf numFmtId="166" fontId="3" fillId="3" borderId="1" applyAlignment="1" pivotButton="0" quotePrefix="0" xfId="0">
      <alignment horizontal="center" vertical="center" wrapText="1"/>
    </xf>
    <xf numFmtId="168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 wrapText="1"/>
    </xf>
    <xf numFmtId="166" fontId="3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165" fontId="2" fillId="3" borderId="1" applyAlignment="1" pivotButton="0" quotePrefix="0" xfId="0">
      <alignment horizontal="center" vertical="center" wrapText="1"/>
    </xf>
    <xf numFmtId="167" fontId="3" fillId="3" borderId="1" applyAlignment="1" pivotButton="0" quotePrefix="0" xfId="0">
      <alignment horizontal="center" vertical="center" wrapText="1"/>
    </xf>
    <xf numFmtId="167" fontId="2" fillId="3" borderId="1" applyAlignment="1" pivotButton="0" quotePrefix="0" xfId="0">
      <alignment horizontal="center" vertical="center" wrapText="1"/>
    </xf>
    <xf numFmtId="165" fontId="2" fillId="0" borderId="1" applyAlignment="1" pivotButton="0" quotePrefix="0" xfId="0">
      <alignment horizontal="center" vertical="center" wrapText="1"/>
    </xf>
    <xf numFmtId="167" fontId="3" fillId="0" borderId="1" applyAlignment="1" pivotButton="0" quotePrefix="0" xfId="0">
      <alignment horizontal="center" vertical="center" wrapText="1"/>
    </xf>
    <xf numFmtId="167" fontId="2" fillId="0" borderId="1" applyAlignment="1" pivotButton="0" quotePrefix="0" xfId="0">
      <alignment horizontal="center" vertical="center" wrapText="1"/>
    </xf>
    <xf numFmtId="165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1" fontId="3" fillId="4" borderId="1" applyAlignment="1" pivotButton="0" quotePrefix="0" xfId="0">
      <alignment horizontal="center" vertical="center" wrapText="1"/>
    </xf>
    <xf numFmtId="166" fontId="3" fillId="4" borderId="1" applyAlignment="1" pivotButton="0" quotePrefix="0" xfId="0">
      <alignment horizontal="center" vertical="center" wrapText="1"/>
    </xf>
    <xf numFmtId="167" fontId="3" fillId="4" borderId="1" applyAlignment="1" pivotButton="0" quotePrefix="0" xfId="0">
      <alignment horizontal="center" vertical="center" wrapText="1"/>
    </xf>
    <xf numFmtId="167" fontId="2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168" fontId="7" fillId="3" borderId="1" applyAlignment="1" pivotButton="0" quotePrefix="0" xfId="0">
      <alignment horizontal="right" vertical="center"/>
    </xf>
    <xf numFmtId="166" fontId="8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168" fontId="7" fillId="0" borderId="1" applyAlignment="1" pivotButton="0" quotePrefix="0" xfId="0">
      <alignment horizontal="right" vertical="center"/>
    </xf>
    <xf numFmtId="166" fontId="8" fillId="0" borderId="1" applyAlignment="1" pivotButton="0" quotePrefix="0" xfId="0">
      <alignment horizontal="center" vertical="center" wrapText="1"/>
    </xf>
    <xf numFmtId="168" fontId="2" fillId="3" borderId="1" applyAlignment="1" pivotButton="0" quotePrefix="0" xfId="0">
      <alignment horizontal="center" vertical="center" wrapText="1"/>
    </xf>
    <xf numFmtId="168" fontId="3" fillId="3" borderId="1" applyAlignment="1" pivotButton="0" quotePrefix="0" xfId="0">
      <alignment horizontal="center" vertical="center" wrapText="1"/>
    </xf>
    <xf numFmtId="2" fontId="3" fillId="3" borderId="1" applyAlignment="1" pivotButton="0" quotePrefix="0" xfId="0">
      <alignment horizontal="center" vertical="center" wrapText="1"/>
    </xf>
    <xf numFmtId="168" fontId="2" fillId="0" borderId="1" applyAlignment="1" pivotButton="0" quotePrefix="0" xfId="0">
      <alignment horizontal="center" vertical="center" wrapText="1"/>
    </xf>
    <xf numFmtId="168" fontId="3" fillId="0" borderId="1" applyAlignment="1" pivotButton="0" quotePrefix="0" xfId="0">
      <alignment horizontal="center" vertical="center" wrapText="1"/>
    </xf>
    <xf numFmtId="2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7">
    <dxf>
      <font>
        <b val="1"/>
        <color rgb="00166534"/>
      </font>
    </dxf>
    <dxf>
      <font>
        <b val="1"/>
        <color rgb="00B91C1C"/>
      </font>
    </dxf>
    <dxf>
      <font>
        <b val="1"/>
        <color rgb="00166534"/>
      </font>
      <fill>
        <patternFill patternType="solid">
          <fgColor rgb="0086EFAC"/>
        </patternFill>
      </fill>
    </dxf>
    <dxf>
      <font>
        <color rgb="00166534"/>
      </font>
      <fill>
        <patternFill patternType="solid">
          <fgColor rgb="00BBF7D0"/>
        </patternFill>
      </fill>
    </dxf>
    <dxf>
      <fill>
        <patternFill patternType="solid">
          <fgColor rgb="00FEF3C7"/>
        </patternFill>
      </fill>
    </dxf>
    <dxf>
      <font>
        <b val="1"/>
        <color rgb="00B91C1C"/>
      </font>
      <fill>
        <patternFill patternType="solid">
          <fgColor rgb="00FECACA"/>
        </patternFill>
      </fill>
    </dxf>
    <dxf>
      <fill>
        <patternFill patternType="solid">
          <fgColor rgb="00E8EAF1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E3A8A"/>
    <outlinePr summaryBelow="1" summaryRight="1"/>
    <pageSetUpPr/>
  </sheetPr>
  <dimension ref="A1:G30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22" customWidth="1" min="3" max="3"/>
    <col width="18" customWidth="1" min="4" max="4"/>
    <col width="18" customWidth="1" min="5" max="5"/>
    <col width="14" customWidth="1" min="6" max="6"/>
    <col width="14" customWidth="1" min="7" max="7"/>
  </cols>
  <sheetData>
    <row r="1" ht="34" customHeight="1">
      <c r="A1" s="1" t="inlineStr">
        <is>
          <t>Mis Bots Polymarket — Tracking diario</t>
        </is>
      </c>
    </row>
    <row r="2" ht="22" customHeight="1">
      <c r="A2" s="2" t="inlineStr">
        <is>
          <t>Inicio: 3 junio 2026  ·  $100 por bot  ·  $500 total inicial  ·  stake $10 por trade</t>
        </is>
      </c>
    </row>
    <row r="4" ht="24" customHeight="1">
      <c r="A4" s="3" t="inlineStr">
        <is>
          <t>📊 Totales globales</t>
        </is>
      </c>
    </row>
    <row r="5" ht="26" customHeight="1">
      <c r="A5" s="4" t="inlineStr">
        <is>
          <t>Métrica</t>
        </is>
      </c>
      <c r="B5" s="4" t="inlineStr">
        <is>
          <t>Valor</t>
        </is>
      </c>
    </row>
    <row r="6" ht="20" customHeight="1">
      <c r="A6" s="5" t="inlineStr">
        <is>
          <t>Días operando</t>
        </is>
      </c>
      <c r="B6" s="6">
        <f>SUMPRODUCT(--('Día a día'!W3:W32&lt;&gt;0))</f>
        <v/>
      </c>
    </row>
    <row r="7" ht="20" customHeight="1">
      <c r="A7" s="7" t="inlineStr">
        <is>
          <t>Trades totales (todos los bots)</t>
        </is>
      </c>
      <c r="B7" s="8">
        <f>SUM('Día a día'!C2:C32)+SUM('Día a día'!G2:G32)+SUM('Día a día'!K2:K32)+SUM('Día a día'!O2:O32)+SUM('Día a día'!S2:S32)</f>
        <v/>
      </c>
    </row>
    <row r="8" ht="20" customHeight="1">
      <c r="A8" s="5" t="inlineStr">
        <is>
          <t>Profit acumulado total</t>
        </is>
      </c>
      <c r="B8" s="9">
        <f>SUM('Día a día'!W3:W32)</f>
        <v/>
      </c>
    </row>
    <row r="9" ht="20" customHeight="1">
      <c r="A9" s="7" t="inlineStr">
        <is>
          <t>Bankroll actual total</t>
        </is>
      </c>
      <c r="B9" s="10">
        <f>IFERROR(LOOKUP(2,1/('Día a día'!X2:X32&lt;&gt;""),'Día a día'!X2:X32),500.0)</f>
        <v/>
      </c>
    </row>
    <row r="10" ht="20" customHeight="1">
      <c r="A10" s="5" t="inlineStr">
        <is>
          <t>ROI total</t>
        </is>
      </c>
      <c r="B10" s="11">
        <f>IFERROR(LOOKUP(2,1/('Día a día'!X2:X32&lt;&gt;""),'Día a día'!X2:X32)/500.0-1,0)</f>
        <v/>
      </c>
    </row>
    <row r="11" ht="20" customHeight="1">
      <c r="A11" s="7" t="inlineStr">
        <is>
          <t>Mejor día (PnL)</t>
        </is>
      </c>
      <c r="B11" s="10">
        <f>IFERROR(MAX('Día a día'!W3:W32),0)</f>
        <v/>
      </c>
    </row>
    <row r="12" ht="20" customHeight="1">
      <c r="A12" s="5" t="inlineStr">
        <is>
          <t>Peor día (PnL)</t>
        </is>
      </c>
      <c r="B12" s="9">
        <f>IFERROR(MIN('Día a día'!W3:W32),0)</f>
        <v/>
      </c>
    </row>
    <row r="13" ht="20" customHeight="1">
      <c r="A13" s="7" t="inlineStr">
        <is>
          <t>Días positivos</t>
        </is>
      </c>
      <c r="B13" s="8">
        <f>COUNTIF('Día a día'!W3:W32,"&gt;0")</f>
        <v/>
      </c>
    </row>
    <row r="14" ht="20" customHeight="1">
      <c r="A14" s="5" t="inlineStr">
        <is>
          <t>Días negativos</t>
        </is>
      </c>
      <c r="B14" s="6">
        <f>COUNTIF('Día a día'!W3:W32,"&lt;0")</f>
        <v/>
      </c>
    </row>
    <row r="17" ht="24" customHeight="1">
      <c r="A17" s="3" t="inlineStr">
        <is>
          <t>🤖 Comparativa por bot</t>
        </is>
      </c>
    </row>
    <row r="18" ht="28" customHeight="1">
      <c r="A18" s="4" t="inlineStr">
        <is>
          <t>Bot</t>
        </is>
      </c>
      <c r="B18" s="4" t="inlineStr">
        <is>
          <t>Bankroll inicial</t>
        </is>
      </c>
      <c r="C18" s="4" t="inlineStr">
        <is>
          <t>Bankroll actual</t>
        </is>
      </c>
      <c r="D18" s="4" t="inlineStr">
        <is>
          <t>Profit</t>
        </is>
      </c>
      <c r="E18" s="4" t="inlineStr">
        <is>
          <t>Trades</t>
        </is>
      </c>
      <c r="F18" s="4" t="inlineStr">
        <is>
          <t>WR ponderado</t>
        </is>
      </c>
      <c r="G18" s="4" t="inlineStr">
        <is>
          <t>DD máx (aprox)</t>
        </is>
      </c>
    </row>
    <row r="19" ht="22" customHeight="1">
      <c r="A19" s="5" t="inlineStr">
        <is>
          <t>V1 Alerts</t>
        </is>
      </c>
      <c r="B19" s="12" t="n">
        <v>100</v>
      </c>
      <c r="C19" s="12">
        <f>IFERROR(LOOKUP(2,1/('Día a día'!F2:F32&lt;&gt;""),'Día a día'!F2:F32),100.0)</f>
        <v/>
      </c>
      <c r="D19" s="12">
        <f>SUM('Día a día'!E3:E32)</f>
        <v/>
      </c>
      <c r="E19" s="13">
        <f>SUM('Día a día'!C3:C32)</f>
        <v/>
      </c>
      <c r="F19" s="14">
        <f>IFERROR(SUMPRODUCT(IF(ISNUMBER('Día a día'!D3:D32),'Día a día'!D3:D32*'Día a día'!C3:C32,0))/SUMPRODUCT(IF(ISNUMBER('Día a día'!D3:D32),'Día a día'!C3:C32,0)),0)</f>
        <v/>
      </c>
      <c r="G19" s="12">
        <f>IFERROR(MIN('Día a día'!F2:F32)-100.0,0)</f>
        <v/>
      </c>
    </row>
    <row r="20" ht="22" customHeight="1">
      <c r="A20" s="7" t="inlineStr">
        <is>
          <t>V2B Selective</t>
        </is>
      </c>
      <c r="B20" s="15" t="n">
        <v>100</v>
      </c>
      <c r="C20" s="15">
        <f>IFERROR(LOOKUP(2,1/('Día a día'!J2:J32&lt;&gt;""),'Día a día'!J2:J32),100.0)</f>
        <v/>
      </c>
      <c r="D20" s="15">
        <f>SUM('Día a día'!I3:I32)</f>
        <v/>
      </c>
      <c r="E20" s="16">
        <f>SUM('Día a día'!G3:G32)</f>
        <v/>
      </c>
      <c r="F20" s="17">
        <f>IFERROR(SUMPRODUCT(IF(ISNUMBER('Día a día'!H3:H32),'Día a día'!H3:H32*'Día a día'!G3:G32,0))/SUMPRODUCT(IF(ISNUMBER('Día a día'!H3:H32),'Día a día'!G3:G32,0)),0)</f>
        <v/>
      </c>
      <c r="G20" s="15">
        <f>IFERROR(MIN('Día a día'!J2:J32)-100.0,0)</f>
        <v/>
      </c>
    </row>
    <row r="21" ht="22" customHeight="1">
      <c r="A21" s="5" t="inlineStr">
        <is>
          <t>V4A Endgame 30pp</t>
        </is>
      </c>
      <c r="B21" s="12" t="n">
        <v>100</v>
      </c>
      <c r="C21" s="12">
        <f>IFERROR(LOOKUP(2,1/('Día a día'!N2:N32&lt;&gt;""),'Día a día'!N2:N32),100.0)</f>
        <v/>
      </c>
      <c r="D21" s="12">
        <f>SUM('Día a día'!M3:M32)</f>
        <v/>
      </c>
      <c r="E21" s="13">
        <f>SUM('Día a día'!K3:K32)</f>
        <v/>
      </c>
      <c r="F21" s="14">
        <f>IFERROR(SUMPRODUCT(IF(ISNUMBER('Día a día'!L3:L32),'Día a día'!L3:L32*'Día a día'!K3:K32,0))/SUMPRODUCT(IF(ISNUMBER('Día a día'!L3:L32),'Día a día'!K3:K32,0)),0)</f>
        <v/>
      </c>
      <c r="G21" s="12">
        <f>IFERROR(MIN('Día a día'!N2:N32)-100.0,0)</f>
        <v/>
      </c>
    </row>
    <row r="22" ht="22" customHeight="1">
      <c r="A22" s="7" t="inlineStr">
        <is>
          <t>V4B Endgame 40pp</t>
        </is>
      </c>
      <c r="B22" s="15" t="n">
        <v>100</v>
      </c>
      <c r="C22" s="15">
        <f>IFERROR(LOOKUP(2,1/('Día a día'!R2:R32&lt;&gt;""),'Día a día'!R2:R32),100.0)</f>
        <v/>
      </c>
      <c r="D22" s="15">
        <f>SUM('Día a día'!Q3:Q32)</f>
        <v/>
      </c>
      <c r="E22" s="16">
        <f>SUM('Día a día'!O3:O32)</f>
        <v/>
      </c>
      <c r="F22" s="17">
        <f>IFERROR(SUMPRODUCT(IF(ISNUMBER('Día a día'!P3:P32),'Día a día'!P3:P32*'Día a día'!O3:O32,0))/SUMPRODUCT(IF(ISNUMBER('Día a día'!P3:P32),'Día a día'!O3:O32,0)),0)</f>
        <v/>
      </c>
      <c r="G22" s="15">
        <f>IFERROR(MIN('Día a día'!R2:R32)-100.0,0)</f>
        <v/>
      </c>
    </row>
    <row r="23" ht="22" customHeight="1">
      <c r="A23" s="5" t="inlineStr">
        <is>
          <t>V4C SOL-only</t>
        </is>
      </c>
      <c r="B23" s="12" t="n">
        <v>100</v>
      </c>
      <c r="C23" s="12">
        <f>IFERROR(LOOKUP(2,1/('Día a día'!V2:V32&lt;&gt;""),'Día a día'!V2:V32),100.0)</f>
        <v/>
      </c>
      <c r="D23" s="12">
        <f>SUM('Día a día'!U3:U32)</f>
        <v/>
      </c>
      <c r="E23" s="13">
        <f>SUM('Día a día'!S3:S32)</f>
        <v/>
      </c>
      <c r="F23" s="14">
        <f>IFERROR(SUMPRODUCT(IF(ISNUMBER('Día a día'!T3:T32),'Día a día'!T3:T32*'Día a día'!S3:S32,0))/SUMPRODUCT(IF(ISNUMBER('Día a día'!T3:T32),'Día a día'!S3:S32,0)),0)</f>
        <v/>
      </c>
      <c r="G23" s="12">
        <f>IFERROR(MIN('Día a día'!V2:V32)-100.0,0)</f>
        <v/>
      </c>
    </row>
    <row r="26" ht="24" customHeight="1">
      <c r="A26" s="3" t="inlineStr">
        <is>
          <t>🎯 Objetivos</t>
        </is>
      </c>
    </row>
    <row r="27" ht="26" customHeight="1">
      <c r="A27" s="4" t="inlineStr">
        <is>
          <t>Periodo</t>
        </is>
      </c>
      <c r="B27" s="4" t="inlineStr">
        <is>
          <t>Objetivo</t>
        </is>
      </c>
      <c r="C27" s="4" t="inlineStr">
        <is>
          <t>Detalle</t>
        </is>
      </c>
    </row>
    <row r="28" ht="32" customHeight="1">
      <c r="A28" s="18" t="inlineStr">
        <is>
          <t>Mes 1 (jun)</t>
        </is>
      </c>
      <c r="B28" s="5" t="inlineStr">
        <is>
          <t>Validar bots en vivo — NO retirar nada</t>
        </is>
      </c>
      <c r="C28" s="19" t="inlineStr">
        <is>
          <t>Comparar WR/PnL real vs backtest. Ajustar filtros si hace falta.</t>
        </is>
      </c>
      <c r="D28" s="20" t="n"/>
      <c r="E28" s="20" t="n"/>
      <c r="F28" s="20" t="n"/>
      <c r="G28" s="21" t="n"/>
    </row>
    <row r="29" ht="32" customHeight="1">
      <c r="A29" s="22" t="inlineStr">
        <is>
          <t>Mes 2 (jul)</t>
        </is>
      </c>
      <c r="B29" s="7" t="inlineStr">
        <is>
          <t>Empezar retiros del 50% de las ganancias</t>
        </is>
      </c>
      <c r="C29" s="23" t="inlineStr">
        <is>
          <t>Mantener bankroll base. Retirar excedente cada domingo.</t>
        </is>
      </c>
      <c r="D29" s="20" t="n"/>
      <c r="E29" s="20" t="n"/>
      <c r="F29" s="20" t="n"/>
      <c r="G29" s="21" t="n"/>
    </row>
    <row r="30" ht="32" customHeight="1">
      <c r="A30" s="18" t="inlineStr">
        <is>
          <t>Mes 3+ (ago →)</t>
        </is>
      </c>
      <c r="B30" s="5" t="inlineStr">
        <is>
          <t>Escalar V4A si rinde como el backtest</t>
        </is>
      </c>
      <c r="C30" s="19" t="inlineStr">
        <is>
          <t>Subir stake gradualmente en el bot top performer.</t>
        </is>
      </c>
      <c r="D30" s="20" t="n"/>
      <c r="E30" s="20" t="n"/>
      <c r="F30" s="20" t="n"/>
      <c r="G30" s="21" t="n"/>
    </row>
  </sheetData>
  <mergeCells count="5">
    <mergeCell ref="C29:G29"/>
    <mergeCell ref="C30:G30"/>
    <mergeCell ref="A1:G1"/>
    <mergeCell ref="C28:G28"/>
    <mergeCell ref="A2:G2"/>
  </mergeCells>
  <conditionalFormatting sqref="B8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9">
    <cfRule type="cellIs" priority="3" operator="greaterThan" dxfId="0">
      <formula>0</formula>
    </cfRule>
    <cfRule type="cellIs" priority="4" operator="lessThan" dxfId="1">
      <formula>0</formula>
    </cfRule>
    <cfRule type="cellIs" priority="11" operator="greaterThan" dxfId="0">
      <formula>500</formula>
    </cfRule>
    <cfRule type="cellIs" priority="12" operator="lessThan" dxfId="1">
      <formula>500</formula>
    </cfRule>
  </conditionalFormatting>
  <conditionalFormatting sqref="B10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B11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B12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D19:D23">
    <cfRule type="cellIs" priority="13" operator="greaterThan" dxfId="0">
      <formula>0</formula>
    </cfRule>
    <cfRule type="cellIs" priority="14" operator="lessThan" dxfId="1">
      <formula>0</formula>
    </cfRule>
  </conditionalFormatting>
  <conditionalFormatting sqref="G19:G23">
    <cfRule type="cellIs" priority="15" operator="lessThan" dxfId="1">
      <formula>0</formula>
    </cfRule>
  </conditionalFormatting>
  <conditionalFormatting sqref="C19:C23">
    <cfRule type="cellIs" priority="16" operator="greaterThan" dxfId="0">
      <formula>100</formula>
    </cfRule>
    <cfRule type="cellIs" priority="17" operator="lessThan" dxfId="1">
      <formula>100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6A34A"/>
    <outlinePr summaryBelow="1" summaryRight="1"/>
    <pageSetUpPr/>
  </sheetPr>
  <dimension ref="A1:Y32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10" customWidth="1" min="4" max="4"/>
    <col width="12" customWidth="1" min="5" max="5"/>
    <col width="13" customWidth="1" min="6" max="6"/>
    <col width="11" customWidth="1" min="7" max="7"/>
    <col width="10" customWidth="1" min="8" max="8"/>
    <col width="12" customWidth="1" min="9" max="9"/>
    <col width="13" customWidth="1" min="10" max="10"/>
    <col width="11" customWidth="1" min="11" max="11"/>
    <col width="10" customWidth="1" min="12" max="12"/>
    <col width="12" customWidth="1" min="13" max="13"/>
    <col width="13" customWidth="1" min="14" max="14"/>
    <col width="11" customWidth="1" min="15" max="15"/>
    <col width="10" customWidth="1" min="16" max="16"/>
    <col width="12" customWidth="1" min="17" max="17"/>
    <col width="13" customWidth="1" min="18" max="18"/>
    <col width="11" customWidth="1" min="19" max="19"/>
    <col width="10" customWidth="1" min="20" max="20"/>
    <col width="12" customWidth="1" min="21" max="21"/>
    <col width="13" customWidth="1" min="22" max="22"/>
    <col width="14" customWidth="1" min="23" max="23"/>
    <col width="15" customWidth="1" min="24" max="24"/>
    <col width="40" customWidth="1" min="25" max="25"/>
  </cols>
  <sheetData>
    <row r="1" ht="38" customHeight="1">
      <c r="A1" s="4" t="inlineStr">
        <is>
          <t>Fecha</t>
        </is>
      </c>
      <c r="B1" s="4" t="inlineStr">
        <is>
          <t>Día</t>
        </is>
      </c>
      <c r="C1" s="4" t="inlineStr">
        <is>
          <t>V1 Trades</t>
        </is>
      </c>
      <c r="D1" s="4" t="inlineStr">
        <is>
          <t>V1 WR %</t>
        </is>
      </c>
      <c r="E1" s="4" t="inlineStr">
        <is>
          <t>V1 PnL día</t>
        </is>
      </c>
      <c r="F1" s="4" t="inlineStr">
        <is>
          <t>V1 Bankroll</t>
        </is>
      </c>
      <c r="G1" s="4" t="inlineStr">
        <is>
          <t>V2B Trades</t>
        </is>
      </c>
      <c r="H1" s="4" t="inlineStr">
        <is>
          <t>V2B WR %</t>
        </is>
      </c>
      <c r="I1" s="4" t="inlineStr">
        <is>
          <t>V2B PnL día</t>
        </is>
      </c>
      <c r="J1" s="4" t="inlineStr">
        <is>
          <t>V2B Bankroll</t>
        </is>
      </c>
      <c r="K1" s="4" t="inlineStr">
        <is>
          <t>V4A Trades</t>
        </is>
      </c>
      <c r="L1" s="4" t="inlineStr">
        <is>
          <t>V4A WR %</t>
        </is>
      </c>
      <c r="M1" s="4" t="inlineStr">
        <is>
          <t>V4A PnL día</t>
        </is>
      </c>
      <c r="N1" s="4" t="inlineStr">
        <is>
          <t>V4A Bankroll</t>
        </is>
      </c>
      <c r="O1" s="4" t="inlineStr">
        <is>
          <t>V4B Trades</t>
        </is>
      </c>
      <c r="P1" s="4" t="inlineStr">
        <is>
          <t>V4B WR %</t>
        </is>
      </c>
      <c r="Q1" s="4" t="inlineStr">
        <is>
          <t>V4B PnL día</t>
        </is>
      </c>
      <c r="R1" s="4" t="inlineStr">
        <is>
          <t>V4B Bankroll</t>
        </is>
      </c>
      <c r="S1" s="4" t="inlineStr">
        <is>
          <t>V4C Trades</t>
        </is>
      </c>
      <c r="T1" s="4" t="inlineStr">
        <is>
          <t>V4C WR %</t>
        </is>
      </c>
      <c r="U1" s="4" t="inlineStr">
        <is>
          <t>V4C PnL día</t>
        </is>
      </c>
      <c r="V1" s="4" t="inlineStr">
        <is>
          <t>V4C Bankroll</t>
        </is>
      </c>
      <c r="W1" s="4" t="inlineStr">
        <is>
          <t>TOTAL PnL día</t>
        </is>
      </c>
      <c r="X1" s="4" t="inlineStr">
        <is>
          <t>TOTAL Bankroll</t>
        </is>
      </c>
      <c r="Y1" s="4" t="inlineStr">
        <is>
          <t>Notas</t>
        </is>
      </c>
    </row>
    <row r="2" ht="22" customHeight="1">
      <c r="A2" s="24" t="n">
        <v>46176</v>
      </c>
      <c r="B2" s="18" t="inlineStr">
        <is>
          <t>Mié</t>
        </is>
      </c>
      <c r="C2" s="13" t="n">
        <v>0</v>
      </c>
      <c r="D2" s="14" t="n"/>
      <c r="E2" s="25" t="n">
        <v>0</v>
      </c>
      <c r="F2" s="25" t="n">
        <v>100</v>
      </c>
      <c r="G2" s="13" t="n">
        <v>0</v>
      </c>
      <c r="H2" s="14" t="n"/>
      <c r="I2" s="25" t="n">
        <v>0</v>
      </c>
      <c r="J2" s="25" t="n">
        <v>100</v>
      </c>
      <c r="K2" s="13" t="n">
        <v>0</v>
      </c>
      <c r="L2" s="14" t="n"/>
      <c r="M2" s="25" t="n">
        <v>0</v>
      </c>
      <c r="N2" s="25" t="n">
        <v>100</v>
      </c>
      <c r="O2" s="13" t="n">
        <v>0</v>
      </c>
      <c r="P2" s="14" t="n"/>
      <c r="Q2" s="25" t="n">
        <v>0</v>
      </c>
      <c r="R2" s="25" t="n">
        <v>100</v>
      </c>
      <c r="S2" s="13" t="n">
        <v>0</v>
      </c>
      <c r="T2" s="14" t="n"/>
      <c r="U2" s="25" t="n">
        <v>0</v>
      </c>
      <c r="V2" s="25" t="n">
        <v>100</v>
      </c>
      <c r="W2" s="26" t="n">
        <v>0</v>
      </c>
      <c r="X2" s="26" t="n">
        <v>500</v>
      </c>
      <c r="Y2" s="19" t="inlineStr">
        <is>
          <t>Día 0 — arranque con $100 por bot</t>
        </is>
      </c>
    </row>
    <row r="3" ht="22" customHeight="1">
      <c r="A3" s="27" t="n">
        <v>46177</v>
      </c>
      <c r="B3" s="22" t="inlineStr">
        <is>
          <t>Jue</t>
        </is>
      </c>
      <c r="C3" s="16" t="n"/>
      <c r="D3" s="17" t="n"/>
      <c r="E3" s="28" t="n"/>
      <c r="F3" s="28">
        <f>F2+IF(ISBLANK(E3),0,E3)</f>
        <v/>
      </c>
      <c r="G3" s="16" t="n"/>
      <c r="H3" s="17" t="n"/>
      <c r="I3" s="28" t="n"/>
      <c r="J3" s="28">
        <f>J2+IF(ISBLANK(I3),0,I3)</f>
        <v/>
      </c>
      <c r="K3" s="16" t="n"/>
      <c r="L3" s="17" t="n"/>
      <c r="M3" s="28" t="n"/>
      <c r="N3" s="28">
        <f>N2+IF(ISBLANK(M3),0,M3)</f>
        <v/>
      </c>
      <c r="O3" s="16" t="n"/>
      <c r="P3" s="17" t="n"/>
      <c r="Q3" s="28" t="n"/>
      <c r="R3" s="28">
        <f>R2+IF(ISBLANK(Q3),0,Q3)</f>
        <v/>
      </c>
      <c r="S3" s="16" t="n"/>
      <c r="T3" s="17" t="n"/>
      <c r="U3" s="28" t="n"/>
      <c r="V3" s="28">
        <f>V2+IF(ISBLANK(U3),0,U3)</f>
        <v/>
      </c>
      <c r="W3" s="29">
        <f>IF(ISBLANK(E3),0,E3)+IF(ISBLANK(I3),0,I3)+IF(ISBLANK(M3),0,M3)+IF(ISBLANK(Q3),0,Q3)+IF(ISBLANK(U3),0,U3)</f>
        <v/>
      </c>
      <c r="X3" s="29">
        <f>F3+J3+N3+R3+V3</f>
        <v/>
      </c>
      <c r="Y3" s="23" t="n"/>
    </row>
    <row r="4" ht="22" customHeight="1">
      <c r="A4" s="24" t="n">
        <v>46178</v>
      </c>
      <c r="B4" s="18" t="inlineStr">
        <is>
          <t>Vie</t>
        </is>
      </c>
      <c r="C4" s="13" t="n"/>
      <c r="D4" s="14" t="n"/>
      <c r="E4" s="25" t="n"/>
      <c r="F4" s="25">
        <f>F3+IF(ISBLANK(E4),0,E4)</f>
        <v/>
      </c>
      <c r="G4" s="13" t="n"/>
      <c r="H4" s="14" t="n"/>
      <c r="I4" s="25" t="n"/>
      <c r="J4" s="25">
        <f>J3+IF(ISBLANK(I4),0,I4)</f>
        <v/>
      </c>
      <c r="K4" s="13" t="n"/>
      <c r="L4" s="14" t="n"/>
      <c r="M4" s="25" t="n"/>
      <c r="N4" s="25">
        <f>N3+IF(ISBLANK(M4),0,M4)</f>
        <v/>
      </c>
      <c r="O4" s="13" t="n"/>
      <c r="P4" s="14" t="n"/>
      <c r="Q4" s="25" t="n"/>
      <c r="R4" s="25">
        <f>R3+IF(ISBLANK(Q4),0,Q4)</f>
        <v/>
      </c>
      <c r="S4" s="13" t="n"/>
      <c r="T4" s="14" t="n"/>
      <c r="U4" s="25" t="n"/>
      <c r="V4" s="25">
        <f>V3+IF(ISBLANK(U4),0,U4)</f>
        <v/>
      </c>
      <c r="W4" s="26">
        <f>IF(ISBLANK(E4),0,E4)+IF(ISBLANK(I4),0,I4)+IF(ISBLANK(M4),0,M4)+IF(ISBLANK(Q4),0,Q4)+IF(ISBLANK(U4),0,U4)</f>
        <v/>
      </c>
      <c r="X4" s="26">
        <f>F4+J4+N4+R4+V4</f>
        <v/>
      </c>
      <c r="Y4" s="19" t="n"/>
    </row>
    <row r="5" ht="22" customHeight="1">
      <c r="A5" s="30" t="n">
        <v>46179</v>
      </c>
      <c r="B5" s="31" t="inlineStr">
        <is>
          <t>Sáb</t>
        </is>
      </c>
      <c r="C5" s="32" t="n"/>
      <c r="D5" s="33" t="n"/>
      <c r="E5" s="34" t="n"/>
      <c r="F5" s="34">
        <f>F4+IF(ISBLANK(E5),0,E5)</f>
        <v/>
      </c>
      <c r="G5" s="32" t="n"/>
      <c r="H5" s="33" t="n"/>
      <c r="I5" s="34" t="n"/>
      <c r="J5" s="34">
        <f>J4+IF(ISBLANK(I5),0,I5)</f>
        <v/>
      </c>
      <c r="K5" s="32" t="n"/>
      <c r="L5" s="33" t="n"/>
      <c r="M5" s="34" t="n"/>
      <c r="N5" s="34">
        <f>N4+IF(ISBLANK(M5),0,M5)</f>
        <v/>
      </c>
      <c r="O5" s="32" t="n"/>
      <c r="P5" s="33" t="n"/>
      <c r="Q5" s="34" t="n"/>
      <c r="R5" s="34">
        <f>R4+IF(ISBLANK(Q5),0,Q5)</f>
        <v/>
      </c>
      <c r="S5" s="32" t="n"/>
      <c r="T5" s="33" t="n"/>
      <c r="U5" s="34" t="n"/>
      <c r="V5" s="34">
        <f>V4+IF(ISBLANK(U5),0,U5)</f>
        <v/>
      </c>
      <c r="W5" s="35">
        <f>IF(ISBLANK(E5),0,E5)+IF(ISBLANK(I5),0,I5)+IF(ISBLANK(M5),0,M5)+IF(ISBLANK(Q5),0,Q5)+IF(ISBLANK(U5),0,U5)</f>
        <v/>
      </c>
      <c r="X5" s="35">
        <f>F5+J5+N5+R5+V5</f>
        <v/>
      </c>
      <c r="Y5" s="36" t="n"/>
    </row>
    <row r="6" ht="22" customHeight="1">
      <c r="A6" s="30" t="n">
        <v>46180</v>
      </c>
      <c r="B6" s="31" t="inlineStr">
        <is>
          <t>Dom</t>
        </is>
      </c>
      <c r="C6" s="32" t="n"/>
      <c r="D6" s="33" t="n"/>
      <c r="E6" s="34" t="n"/>
      <c r="F6" s="34">
        <f>F5+IF(ISBLANK(E6),0,E6)</f>
        <v/>
      </c>
      <c r="G6" s="32" t="n"/>
      <c r="H6" s="33" t="n"/>
      <c r="I6" s="34" t="n"/>
      <c r="J6" s="34">
        <f>J5+IF(ISBLANK(I6),0,I6)</f>
        <v/>
      </c>
      <c r="K6" s="32" t="n"/>
      <c r="L6" s="33" t="n"/>
      <c r="M6" s="34" t="n"/>
      <c r="N6" s="34">
        <f>N5+IF(ISBLANK(M6),0,M6)</f>
        <v/>
      </c>
      <c r="O6" s="32" t="n"/>
      <c r="P6" s="33" t="n"/>
      <c r="Q6" s="34" t="n"/>
      <c r="R6" s="34">
        <f>R5+IF(ISBLANK(Q6),0,Q6)</f>
        <v/>
      </c>
      <c r="S6" s="32" t="n"/>
      <c r="T6" s="33" t="n"/>
      <c r="U6" s="34" t="n"/>
      <c r="V6" s="34">
        <f>V5+IF(ISBLANK(U6),0,U6)</f>
        <v/>
      </c>
      <c r="W6" s="35">
        <f>IF(ISBLANK(E6),0,E6)+IF(ISBLANK(I6),0,I6)+IF(ISBLANK(M6),0,M6)+IF(ISBLANK(Q6),0,Q6)+IF(ISBLANK(U6),0,U6)</f>
        <v/>
      </c>
      <c r="X6" s="35">
        <f>F6+J6+N6+R6+V6</f>
        <v/>
      </c>
      <c r="Y6" s="36" t="n"/>
    </row>
    <row r="7" ht="22" customHeight="1">
      <c r="A7" s="27" t="n">
        <v>46181</v>
      </c>
      <c r="B7" s="22" t="inlineStr">
        <is>
          <t>Lun</t>
        </is>
      </c>
      <c r="C7" s="16" t="n"/>
      <c r="D7" s="17" t="n"/>
      <c r="E7" s="28" t="n"/>
      <c r="F7" s="28">
        <f>F6+IF(ISBLANK(E7),0,E7)</f>
        <v/>
      </c>
      <c r="G7" s="16" t="n"/>
      <c r="H7" s="17" t="n"/>
      <c r="I7" s="28" t="n"/>
      <c r="J7" s="28">
        <f>J6+IF(ISBLANK(I7),0,I7)</f>
        <v/>
      </c>
      <c r="K7" s="16" t="n"/>
      <c r="L7" s="17" t="n"/>
      <c r="M7" s="28" t="n"/>
      <c r="N7" s="28">
        <f>N6+IF(ISBLANK(M7),0,M7)</f>
        <v/>
      </c>
      <c r="O7" s="16" t="n"/>
      <c r="P7" s="17" t="n"/>
      <c r="Q7" s="28" t="n"/>
      <c r="R7" s="28">
        <f>R6+IF(ISBLANK(Q7),0,Q7)</f>
        <v/>
      </c>
      <c r="S7" s="16" t="n"/>
      <c r="T7" s="17" t="n"/>
      <c r="U7" s="28" t="n"/>
      <c r="V7" s="28">
        <f>V6+IF(ISBLANK(U7),0,U7)</f>
        <v/>
      </c>
      <c r="W7" s="29">
        <f>IF(ISBLANK(E7),0,E7)+IF(ISBLANK(I7),0,I7)+IF(ISBLANK(M7),0,M7)+IF(ISBLANK(Q7),0,Q7)+IF(ISBLANK(U7),0,U7)</f>
        <v/>
      </c>
      <c r="X7" s="29">
        <f>F7+J7+N7+R7+V7</f>
        <v/>
      </c>
      <c r="Y7" s="23" t="n"/>
    </row>
    <row r="8" ht="22" customHeight="1">
      <c r="A8" s="24" t="n">
        <v>46182</v>
      </c>
      <c r="B8" s="18" t="inlineStr">
        <is>
          <t>Mar</t>
        </is>
      </c>
      <c r="C8" s="13" t="n"/>
      <c r="D8" s="14" t="n"/>
      <c r="E8" s="25" t="n"/>
      <c r="F8" s="25">
        <f>F7+IF(ISBLANK(E8),0,E8)</f>
        <v/>
      </c>
      <c r="G8" s="13" t="n"/>
      <c r="H8" s="14" t="n"/>
      <c r="I8" s="25" t="n"/>
      <c r="J8" s="25">
        <f>J7+IF(ISBLANK(I8),0,I8)</f>
        <v/>
      </c>
      <c r="K8" s="13" t="n"/>
      <c r="L8" s="14" t="n"/>
      <c r="M8" s="25" t="n"/>
      <c r="N8" s="25">
        <f>N7+IF(ISBLANK(M8),0,M8)</f>
        <v/>
      </c>
      <c r="O8" s="13" t="n"/>
      <c r="P8" s="14" t="n"/>
      <c r="Q8" s="25" t="n"/>
      <c r="R8" s="25">
        <f>R7+IF(ISBLANK(Q8),0,Q8)</f>
        <v/>
      </c>
      <c r="S8" s="13" t="n"/>
      <c r="T8" s="14" t="n"/>
      <c r="U8" s="25" t="n"/>
      <c r="V8" s="25">
        <f>V7+IF(ISBLANK(U8),0,U8)</f>
        <v/>
      </c>
      <c r="W8" s="26">
        <f>IF(ISBLANK(E8),0,E8)+IF(ISBLANK(I8),0,I8)+IF(ISBLANK(M8),0,M8)+IF(ISBLANK(Q8),0,Q8)+IF(ISBLANK(U8),0,U8)</f>
        <v/>
      </c>
      <c r="X8" s="26">
        <f>F8+J8+N8+R8+V8</f>
        <v/>
      </c>
      <c r="Y8" s="19" t="n"/>
    </row>
    <row r="9" ht="22" customHeight="1">
      <c r="A9" s="27" t="n">
        <v>46183</v>
      </c>
      <c r="B9" s="22" t="inlineStr">
        <is>
          <t>Mié</t>
        </is>
      </c>
      <c r="C9" s="16" t="n"/>
      <c r="D9" s="17" t="n"/>
      <c r="E9" s="28" t="n"/>
      <c r="F9" s="28">
        <f>F8+IF(ISBLANK(E9),0,E9)</f>
        <v/>
      </c>
      <c r="G9" s="16" t="n"/>
      <c r="H9" s="17" t="n"/>
      <c r="I9" s="28" t="n"/>
      <c r="J9" s="28">
        <f>J8+IF(ISBLANK(I9),0,I9)</f>
        <v/>
      </c>
      <c r="K9" s="16" t="n"/>
      <c r="L9" s="17" t="n"/>
      <c r="M9" s="28" t="n"/>
      <c r="N9" s="28">
        <f>N8+IF(ISBLANK(M9),0,M9)</f>
        <v/>
      </c>
      <c r="O9" s="16" t="n"/>
      <c r="P9" s="17" t="n"/>
      <c r="Q9" s="28" t="n"/>
      <c r="R9" s="28">
        <f>R8+IF(ISBLANK(Q9),0,Q9)</f>
        <v/>
      </c>
      <c r="S9" s="16" t="n"/>
      <c r="T9" s="17" t="n"/>
      <c r="U9" s="28" t="n"/>
      <c r="V9" s="28">
        <f>V8+IF(ISBLANK(U9),0,U9)</f>
        <v/>
      </c>
      <c r="W9" s="29">
        <f>IF(ISBLANK(E9),0,E9)+IF(ISBLANK(I9),0,I9)+IF(ISBLANK(M9),0,M9)+IF(ISBLANK(Q9),0,Q9)+IF(ISBLANK(U9),0,U9)</f>
        <v/>
      </c>
      <c r="X9" s="29">
        <f>F9+J9+N9+R9+V9</f>
        <v/>
      </c>
      <c r="Y9" s="23" t="n"/>
    </row>
    <row r="10" ht="22" customHeight="1">
      <c r="A10" s="24" t="n">
        <v>46184</v>
      </c>
      <c r="B10" s="18" t="inlineStr">
        <is>
          <t>Jue</t>
        </is>
      </c>
      <c r="C10" s="13" t="n"/>
      <c r="D10" s="14" t="n"/>
      <c r="E10" s="25" t="n"/>
      <c r="F10" s="25">
        <f>F9+IF(ISBLANK(E10),0,E10)</f>
        <v/>
      </c>
      <c r="G10" s="13" t="n"/>
      <c r="H10" s="14" t="n"/>
      <c r="I10" s="25" t="n"/>
      <c r="J10" s="25">
        <f>J9+IF(ISBLANK(I10),0,I10)</f>
        <v/>
      </c>
      <c r="K10" s="13" t="n"/>
      <c r="L10" s="14" t="n"/>
      <c r="M10" s="25" t="n"/>
      <c r="N10" s="25">
        <f>N9+IF(ISBLANK(M10),0,M10)</f>
        <v/>
      </c>
      <c r="O10" s="13" t="n"/>
      <c r="P10" s="14" t="n"/>
      <c r="Q10" s="25" t="n"/>
      <c r="R10" s="25">
        <f>R9+IF(ISBLANK(Q10),0,Q10)</f>
        <v/>
      </c>
      <c r="S10" s="13" t="n"/>
      <c r="T10" s="14" t="n"/>
      <c r="U10" s="25" t="n"/>
      <c r="V10" s="25">
        <f>V9+IF(ISBLANK(U10),0,U10)</f>
        <v/>
      </c>
      <c r="W10" s="26">
        <f>IF(ISBLANK(E10),0,E10)+IF(ISBLANK(I10),0,I10)+IF(ISBLANK(M10),0,M10)+IF(ISBLANK(Q10),0,Q10)+IF(ISBLANK(U10),0,U10)</f>
        <v/>
      </c>
      <c r="X10" s="26">
        <f>F10+J10+N10+R10+V10</f>
        <v/>
      </c>
      <c r="Y10" s="19" t="n"/>
    </row>
    <row r="11" ht="22" customHeight="1">
      <c r="A11" s="27" t="n">
        <v>46185</v>
      </c>
      <c r="B11" s="22" t="inlineStr">
        <is>
          <t>Vie</t>
        </is>
      </c>
      <c r="C11" s="16" t="n"/>
      <c r="D11" s="17" t="n"/>
      <c r="E11" s="28" t="n"/>
      <c r="F11" s="28">
        <f>F10+IF(ISBLANK(E11),0,E11)</f>
        <v/>
      </c>
      <c r="G11" s="16" t="n"/>
      <c r="H11" s="17" t="n"/>
      <c r="I11" s="28" t="n"/>
      <c r="J11" s="28">
        <f>J10+IF(ISBLANK(I11),0,I11)</f>
        <v/>
      </c>
      <c r="K11" s="16" t="n"/>
      <c r="L11" s="17" t="n"/>
      <c r="M11" s="28" t="n"/>
      <c r="N11" s="28">
        <f>N10+IF(ISBLANK(M11),0,M11)</f>
        <v/>
      </c>
      <c r="O11" s="16" t="n"/>
      <c r="P11" s="17" t="n"/>
      <c r="Q11" s="28" t="n"/>
      <c r="R11" s="28">
        <f>R10+IF(ISBLANK(Q11),0,Q11)</f>
        <v/>
      </c>
      <c r="S11" s="16" t="n"/>
      <c r="T11" s="17" t="n"/>
      <c r="U11" s="28" t="n"/>
      <c r="V11" s="28">
        <f>V10+IF(ISBLANK(U11),0,U11)</f>
        <v/>
      </c>
      <c r="W11" s="29">
        <f>IF(ISBLANK(E11),0,E11)+IF(ISBLANK(I11),0,I11)+IF(ISBLANK(M11),0,M11)+IF(ISBLANK(Q11),0,Q11)+IF(ISBLANK(U11),0,U11)</f>
        <v/>
      </c>
      <c r="X11" s="29">
        <f>F11+J11+N11+R11+V11</f>
        <v/>
      </c>
      <c r="Y11" s="23" t="n"/>
    </row>
    <row r="12" ht="22" customHeight="1">
      <c r="A12" s="30" t="n">
        <v>46186</v>
      </c>
      <c r="B12" s="31" t="inlineStr">
        <is>
          <t>Sáb</t>
        </is>
      </c>
      <c r="C12" s="32" t="n"/>
      <c r="D12" s="33" t="n"/>
      <c r="E12" s="34" t="n"/>
      <c r="F12" s="34">
        <f>F11+IF(ISBLANK(E12),0,E12)</f>
        <v/>
      </c>
      <c r="G12" s="32" t="n"/>
      <c r="H12" s="33" t="n"/>
      <c r="I12" s="34" t="n"/>
      <c r="J12" s="34">
        <f>J11+IF(ISBLANK(I12),0,I12)</f>
        <v/>
      </c>
      <c r="K12" s="32" t="n"/>
      <c r="L12" s="33" t="n"/>
      <c r="M12" s="34" t="n"/>
      <c r="N12" s="34">
        <f>N11+IF(ISBLANK(M12),0,M12)</f>
        <v/>
      </c>
      <c r="O12" s="32" t="n"/>
      <c r="P12" s="33" t="n"/>
      <c r="Q12" s="34" t="n"/>
      <c r="R12" s="34">
        <f>R11+IF(ISBLANK(Q12),0,Q12)</f>
        <v/>
      </c>
      <c r="S12" s="32" t="n"/>
      <c r="T12" s="33" t="n"/>
      <c r="U12" s="34" t="n"/>
      <c r="V12" s="34">
        <f>V11+IF(ISBLANK(U12),0,U12)</f>
        <v/>
      </c>
      <c r="W12" s="35">
        <f>IF(ISBLANK(E12),0,E12)+IF(ISBLANK(I12),0,I12)+IF(ISBLANK(M12),0,M12)+IF(ISBLANK(Q12),0,Q12)+IF(ISBLANK(U12),0,U12)</f>
        <v/>
      </c>
      <c r="X12" s="35">
        <f>F12+J12+N12+R12+V12</f>
        <v/>
      </c>
      <c r="Y12" s="36" t="n"/>
    </row>
    <row r="13" ht="22" customHeight="1">
      <c r="A13" s="30" t="n">
        <v>46187</v>
      </c>
      <c r="B13" s="31" t="inlineStr">
        <is>
          <t>Dom</t>
        </is>
      </c>
      <c r="C13" s="32" t="n"/>
      <c r="D13" s="33" t="n"/>
      <c r="E13" s="34" t="n"/>
      <c r="F13" s="34">
        <f>F12+IF(ISBLANK(E13),0,E13)</f>
        <v/>
      </c>
      <c r="G13" s="32" t="n"/>
      <c r="H13" s="33" t="n"/>
      <c r="I13" s="34" t="n"/>
      <c r="J13" s="34">
        <f>J12+IF(ISBLANK(I13),0,I13)</f>
        <v/>
      </c>
      <c r="K13" s="32" t="n"/>
      <c r="L13" s="33" t="n"/>
      <c r="M13" s="34" t="n"/>
      <c r="N13" s="34">
        <f>N12+IF(ISBLANK(M13),0,M13)</f>
        <v/>
      </c>
      <c r="O13" s="32" t="n"/>
      <c r="P13" s="33" t="n"/>
      <c r="Q13" s="34" t="n"/>
      <c r="R13" s="34">
        <f>R12+IF(ISBLANK(Q13),0,Q13)</f>
        <v/>
      </c>
      <c r="S13" s="32" t="n"/>
      <c r="T13" s="33" t="n"/>
      <c r="U13" s="34" t="n"/>
      <c r="V13" s="34">
        <f>V12+IF(ISBLANK(U13),0,U13)</f>
        <v/>
      </c>
      <c r="W13" s="35">
        <f>IF(ISBLANK(E13),0,E13)+IF(ISBLANK(I13),0,I13)+IF(ISBLANK(M13),0,M13)+IF(ISBLANK(Q13),0,Q13)+IF(ISBLANK(U13),0,U13)</f>
        <v/>
      </c>
      <c r="X13" s="35">
        <f>F13+J13+N13+R13+V13</f>
        <v/>
      </c>
      <c r="Y13" s="36" t="n"/>
    </row>
    <row r="14" ht="22" customHeight="1">
      <c r="A14" s="24" t="n">
        <v>46188</v>
      </c>
      <c r="B14" s="18" t="inlineStr">
        <is>
          <t>Lun</t>
        </is>
      </c>
      <c r="C14" s="13" t="n"/>
      <c r="D14" s="14" t="n"/>
      <c r="E14" s="25" t="n"/>
      <c r="F14" s="25">
        <f>F13+IF(ISBLANK(E14),0,E14)</f>
        <v/>
      </c>
      <c r="G14" s="13" t="n"/>
      <c r="H14" s="14" t="n"/>
      <c r="I14" s="25" t="n"/>
      <c r="J14" s="25">
        <f>J13+IF(ISBLANK(I14),0,I14)</f>
        <v/>
      </c>
      <c r="K14" s="13" t="n"/>
      <c r="L14" s="14" t="n"/>
      <c r="M14" s="25" t="n"/>
      <c r="N14" s="25">
        <f>N13+IF(ISBLANK(M14),0,M14)</f>
        <v/>
      </c>
      <c r="O14" s="13" t="n"/>
      <c r="P14" s="14" t="n"/>
      <c r="Q14" s="25" t="n"/>
      <c r="R14" s="25">
        <f>R13+IF(ISBLANK(Q14),0,Q14)</f>
        <v/>
      </c>
      <c r="S14" s="13" t="n"/>
      <c r="T14" s="14" t="n"/>
      <c r="U14" s="25" t="n"/>
      <c r="V14" s="25">
        <f>V13+IF(ISBLANK(U14),0,U14)</f>
        <v/>
      </c>
      <c r="W14" s="26">
        <f>IF(ISBLANK(E14),0,E14)+IF(ISBLANK(I14),0,I14)+IF(ISBLANK(M14),0,M14)+IF(ISBLANK(Q14),0,Q14)+IF(ISBLANK(U14),0,U14)</f>
        <v/>
      </c>
      <c r="X14" s="26">
        <f>F14+J14+N14+R14+V14</f>
        <v/>
      </c>
      <c r="Y14" s="19" t="n"/>
    </row>
    <row r="15" ht="22" customHeight="1">
      <c r="A15" s="27" t="n">
        <v>46189</v>
      </c>
      <c r="B15" s="22" t="inlineStr">
        <is>
          <t>Mar</t>
        </is>
      </c>
      <c r="C15" s="16" t="n"/>
      <c r="D15" s="17" t="n"/>
      <c r="E15" s="28" t="n"/>
      <c r="F15" s="28">
        <f>F14+IF(ISBLANK(E15),0,E15)</f>
        <v/>
      </c>
      <c r="G15" s="16" t="n"/>
      <c r="H15" s="17" t="n"/>
      <c r="I15" s="28" t="n"/>
      <c r="J15" s="28">
        <f>J14+IF(ISBLANK(I15),0,I15)</f>
        <v/>
      </c>
      <c r="K15" s="16" t="n"/>
      <c r="L15" s="17" t="n"/>
      <c r="M15" s="28" t="n"/>
      <c r="N15" s="28">
        <f>N14+IF(ISBLANK(M15),0,M15)</f>
        <v/>
      </c>
      <c r="O15" s="16" t="n"/>
      <c r="P15" s="17" t="n"/>
      <c r="Q15" s="28" t="n"/>
      <c r="R15" s="28">
        <f>R14+IF(ISBLANK(Q15),0,Q15)</f>
        <v/>
      </c>
      <c r="S15" s="16" t="n"/>
      <c r="T15" s="17" t="n"/>
      <c r="U15" s="28" t="n"/>
      <c r="V15" s="28">
        <f>V14+IF(ISBLANK(U15),0,U15)</f>
        <v/>
      </c>
      <c r="W15" s="29">
        <f>IF(ISBLANK(E15),0,E15)+IF(ISBLANK(I15),0,I15)+IF(ISBLANK(M15),0,M15)+IF(ISBLANK(Q15),0,Q15)+IF(ISBLANK(U15),0,U15)</f>
        <v/>
      </c>
      <c r="X15" s="29">
        <f>F15+J15+N15+R15+V15</f>
        <v/>
      </c>
      <c r="Y15" s="23" t="n"/>
    </row>
    <row r="16" ht="22" customHeight="1">
      <c r="A16" s="24" t="n">
        <v>46190</v>
      </c>
      <c r="B16" s="18" t="inlineStr">
        <is>
          <t>Mié</t>
        </is>
      </c>
      <c r="C16" s="13" t="n"/>
      <c r="D16" s="14" t="n"/>
      <c r="E16" s="25" t="n"/>
      <c r="F16" s="25">
        <f>F15+IF(ISBLANK(E16),0,E16)</f>
        <v/>
      </c>
      <c r="G16" s="13" t="n"/>
      <c r="H16" s="14" t="n"/>
      <c r="I16" s="25" t="n"/>
      <c r="J16" s="25">
        <f>J15+IF(ISBLANK(I16),0,I16)</f>
        <v/>
      </c>
      <c r="K16" s="13" t="n"/>
      <c r="L16" s="14" t="n"/>
      <c r="M16" s="25" t="n"/>
      <c r="N16" s="25">
        <f>N15+IF(ISBLANK(M16),0,M16)</f>
        <v/>
      </c>
      <c r="O16" s="13" t="n"/>
      <c r="P16" s="14" t="n"/>
      <c r="Q16" s="25" t="n"/>
      <c r="R16" s="25">
        <f>R15+IF(ISBLANK(Q16),0,Q16)</f>
        <v/>
      </c>
      <c r="S16" s="13" t="n"/>
      <c r="T16" s="14" t="n"/>
      <c r="U16" s="25" t="n"/>
      <c r="V16" s="25">
        <f>V15+IF(ISBLANK(U16),0,U16)</f>
        <v/>
      </c>
      <c r="W16" s="26">
        <f>IF(ISBLANK(E16),0,E16)+IF(ISBLANK(I16),0,I16)+IF(ISBLANK(M16),0,M16)+IF(ISBLANK(Q16),0,Q16)+IF(ISBLANK(U16),0,U16)</f>
        <v/>
      </c>
      <c r="X16" s="26">
        <f>F16+J16+N16+R16+V16</f>
        <v/>
      </c>
      <c r="Y16" s="19" t="n"/>
    </row>
    <row r="17" ht="22" customHeight="1">
      <c r="A17" s="27" t="n">
        <v>46191</v>
      </c>
      <c r="B17" s="22" t="inlineStr">
        <is>
          <t>Jue</t>
        </is>
      </c>
      <c r="C17" s="16" t="n"/>
      <c r="D17" s="17" t="n"/>
      <c r="E17" s="28" t="n"/>
      <c r="F17" s="28">
        <f>F16+IF(ISBLANK(E17),0,E17)</f>
        <v/>
      </c>
      <c r="G17" s="16" t="n"/>
      <c r="H17" s="17" t="n"/>
      <c r="I17" s="28" t="n"/>
      <c r="J17" s="28">
        <f>J16+IF(ISBLANK(I17),0,I17)</f>
        <v/>
      </c>
      <c r="K17" s="16" t="n"/>
      <c r="L17" s="17" t="n"/>
      <c r="M17" s="28" t="n"/>
      <c r="N17" s="28">
        <f>N16+IF(ISBLANK(M17),0,M17)</f>
        <v/>
      </c>
      <c r="O17" s="16" t="n"/>
      <c r="P17" s="17" t="n"/>
      <c r="Q17" s="28" t="n"/>
      <c r="R17" s="28">
        <f>R16+IF(ISBLANK(Q17),0,Q17)</f>
        <v/>
      </c>
      <c r="S17" s="16" t="n"/>
      <c r="T17" s="17" t="n"/>
      <c r="U17" s="28" t="n"/>
      <c r="V17" s="28">
        <f>V16+IF(ISBLANK(U17),0,U17)</f>
        <v/>
      </c>
      <c r="W17" s="29">
        <f>IF(ISBLANK(E17),0,E17)+IF(ISBLANK(I17),0,I17)+IF(ISBLANK(M17),0,M17)+IF(ISBLANK(Q17),0,Q17)+IF(ISBLANK(U17),0,U17)</f>
        <v/>
      </c>
      <c r="X17" s="29">
        <f>F17+J17+N17+R17+V17</f>
        <v/>
      </c>
      <c r="Y17" s="23" t="n"/>
    </row>
    <row r="18" ht="22" customHeight="1">
      <c r="A18" s="24" t="n">
        <v>46192</v>
      </c>
      <c r="B18" s="18" t="inlineStr">
        <is>
          <t>Vie</t>
        </is>
      </c>
      <c r="C18" s="13" t="n"/>
      <c r="D18" s="14" t="n"/>
      <c r="E18" s="25" t="n"/>
      <c r="F18" s="25">
        <f>F17+IF(ISBLANK(E18),0,E18)</f>
        <v/>
      </c>
      <c r="G18" s="13" t="n"/>
      <c r="H18" s="14" t="n"/>
      <c r="I18" s="25" t="n"/>
      <c r="J18" s="25">
        <f>J17+IF(ISBLANK(I18),0,I18)</f>
        <v/>
      </c>
      <c r="K18" s="13" t="n"/>
      <c r="L18" s="14" t="n"/>
      <c r="M18" s="25" t="n"/>
      <c r="N18" s="25">
        <f>N17+IF(ISBLANK(M18),0,M18)</f>
        <v/>
      </c>
      <c r="O18" s="13" t="n"/>
      <c r="P18" s="14" t="n"/>
      <c r="Q18" s="25" t="n"/>
      <c r="R18" s="25">
        <f>R17+IF(ISBLANK(Q18),0,Q18)</f>
        <v/>
      </c>
      <c r="S18" s="13" t="n"/>
      <c r="T18" s="14" t="n"/>
      <c r="U18" s="25" t="n"/>
      <c r="V18" s="25">
        <f>V17+IF(ISBLANK(U18),0,U18)</f>
        <v/>
      </c>
      <c r="W18" s="26">
        <f>IF(ISBLANK(E18),0,E18)+IF(ISBLANK(I18),0,I18)+IF(ISBLANK(M18),0,M18)+IF(ISBLANK(Q18),0,Q18)+IF(ISBLANK(U18),0,U18)</f>
        <v/>
      </c>
      <c r="X18" s="26">
        <f>F18+J18+N18+R18+V18</f>
        <v/>
      </c>
      <c r="Y18" s="19" t="n"/>
    </row>
    <row r="19" ht="22" customHeight="1">
      <c r="A19" s="30" t="n">
        <v>46193</v>
      </c>
      <c r="B19" s="31" t="inlineStr">
        <is>
          <t>Sáb</t>
        </is>
      </c>
      <c r="C19" s="32" t="n"/>
      <c r="D19" s="33" t="n"/>
      <c r="E19" s="34" t="n"/>
      <c r="F19" s="34">
        <f>F18+IF(ISBLANK(E19),0,E19)</f>
        <v/>
      </c>
      <c r="G19" s="32" t="n"/>
      <c r="H19" s="33" t="n"/>
      <c r="I19" s="34" t="n"/>
      <c r="J19" s="34">
        <f>J18+IF(ISBLANK(I19),0,I19)</f>
        <v/>
      </c>
      <c r="K19" s="32" t="n"/>
      <c r="L19" s="33" t="n"/>
      <c r="M19" s="34" t="n"/>
      <c r="N19" s="34">
        <f>N18+IF(ISBLANK(M19),0,M19)</f>
        <v/>
      </c>
      <c r="O19" s="32" t="n"/>
      <c r="P19" s="33" t="n"/>
      <c r="Q19" s="34" t="n"/>
      <c r="R19" s="34">
        <f>R18+IF(ISBLANK(Q19),0,Q19)</f>
        <v/>
      </c>
      <c r="S19" s="32" t="n"/>
      <c r="T19" s="33" t="n"/>
      <c r="U19" s="34" t="n"/>
      <c r="V19" s="34">
        <f>V18+IF(ISBLANK(U19),0,U19)</f>
        <v/>
      </c>
      <c r="W19" s="35">
        <f>IF(ISBLANK(E19),0,E19)+IF(ISBLANK(I19),0,I19)+IF(ISBLANK(M19),0,M19)+IF(ISBLANK(Q19),0,Q19)+IF(ISBLANK(U19),0,U19)</f>
        <v/>
      </c>
      <c r="X19" s="35">
        <f>F19+J19+N19+R19+V19</f>
        <v/>
      </c>
      <c r="Y19" s="36" t="n"/>
    </row>
    <row r="20" ht="22" customHeight="1">
      <c r="A20" s="30" t="n">
        <v>46194</v>
      </c>
      <c r="B20" s="31" t="inlineStr">
        <is>
          <t>Dom</t>
        </is>
      </c>
      <c r="C20" s="32" t="n"/>
      <c r="D20" s="33" t="n"/>
      <c r="E20" s="34" t="n"/>
      <c r="F20" s="34">
        <f>F19+IF(ISBLANK(E20),0,E20)</f>
        <v/>
      </c>
      <c r="G20" s="32" t="n"/>
      <c r="H20" s="33" t="n"/>
      <c r="I20" s="34" t="n"/>
      <c r="J20" s="34">
        <f>J19+IF(ISBLANK(I20),0,I20)</f>
        <v/>
      </c>
      <c r="K20" s="32" t="n"/>
      <c r="L20" s="33" t="n"/>
      <c r="M20" s="34" t="n"/>
      <c r="N20" s="34">
        <f>N19+IF(ISBLANK(M20),0,M20)</f>
        <v/>
      </c>
      <c r="O20" s="32" t="n"/>
      <c r="P20" s="33" t="n"/>
      <c r="Q20" s="34" t="n"/>
      <c r="R20" s="34">
        <f>R19+IF(ISBLANK(Q20),0,Q20)</f>
        <v/>
      </c>
      <c r="S20" s="32" t="n"/>
      <c r="T20" s="33" t="n"/>
      <c r="U20" s="34" t="n"/>
      <c r="V20" s="34">
        <f>V19+IF(ISBLANK(U20),0,U20)</f>
        <v/>
      </c>
      <c r="W20" s="35">
        <f>IF(ISBLANK(E20),0,E20)+IF(ISBLANK(I20),0,I20)+IF(ISBLANK(M20),0,M20)+IF(ISBLANK(Q20),0,Q20)+IF(ISBLANK(U20),0,U20)</f>
        <v/>
      </c>
      <c r="X20" s="35">
        <f>F20+J20+N20+R20+V20</f>
        <v/>
      </c>
      <c r="Y20" s="36" t="n"/>
    </row>
    <row r="21" ht="22" customHeight="1">
      <c r="A21" s="27" t="n">
        <v>46195</v>
      </c>
      <c r="B21" s="22" t="inlineStr">
        <is>
          <t>Lun</t>
        </is>
      </c>
      <c r="C21" s="16" t="n"/>
      <c r="D21" s="17" t="n"/>
      <c r="E21" s="28" t="n"/>
      <c r="F21" s="28">
        <f>F20+IF(ISBLANK(E21),0,E21)</f>
        <v/>
      </c>
      <c r="G21" s="16" t="n"/>
      <c r="H21" s="17" t="n"/>
      <c r="I21" s="28" t="n"/>
      <c r="J21" s="28">
        <f>J20+IF(ISBLANK(I21),0,I21)</f>
        <v/>
      </c>
      <c r="K21" s="16" t="n"/>
      <c r="L21" s="17" t="n"/>
      <c r="M21" s="28" t="n"/>
      <c r="N21" s="28">
        <f>N20+IF(ISBLANK(M21),0,M21)</f>
        <v/>
      </c>
      <c r="O21" s="16" t="n"/>
      <c r="P21" s="17" t="n"/>
      <c r="Q21" s="28" t="n"/>
      <c r="R21" s="28">
        <f>R20+IF(ISBLANK(Q21),0,Q21)</f>
        <v/>
      </c>
      <c r="S21" s="16" t="n"/>
      <c r="T21" s="17" t="n"/>
      <c r="U21" s="28" t="n"/>
      <c r="V21" s="28">
        <f>V20+IF(ISBLANK(U21),0,U21)</f>
        <v/>
      </c>
      <c r="W21" s="29">
        <f>IF(ISBLANK(E21),0,E21)+IF(ISBLANK(I21),0,I21)+IF(ISBLANK(M21),0,M21)+IF(ISBLANK(Q21),0,Q21)+IF(ISBLANK(U21),0,U21)</f>
        <v/>
      </c>
      <c r="X21" s="29">
        <f>F21+J21+N21+R21+V21</f>
        <v/>
      </c>
      <c r="Y21" s="23" t="n"/>
    </row>
    <row r="22" ht="22" customHeight="1">
      <c r="A22" s="24" t="n">
        <v>46196</v>
      </c>
      <c r="B22" s="18" t="inlineStr">
        <is>
          <t>Mar</t>
        </is>
      </c>
      <c r="C22" s="13" t="n"/>
      <c r="D22" s="14" t="n"/>
      <c r="E22" s="25" t="n"/>
      <c r="F22" s="25">
        <f>F21+IF(ISBLANK(E22),0,E22)</f>
        <v/>
      </c>
      <c r="G22" s="13" t="n"/>
      <c r="H22" s="14" t="n"/>
      <c r="I22" s="25" t="n"/>
      <c r="J22" s="25">
        <f>J21+IF(ISBLANK(I22),0,I22)</f>
        <v/>
      </c>
      <c r="K22" s="13" t="n"/>
      <c r="L22" s="14" t="n"/>
      <c r="M22" s="25" t="n"/>
      <c r="N22" s="25">
        <f>N21+IF(ISBLANK(M22),0,M22)</f>
        <v/>
      </c>
      <c r="O22" s="13" t="n"/>
      <c r="P22" s="14" t="n"/>
      <c r="Q22" s="25" t="n"/>
      <c r="R22" s="25">
        <f>R21+IF(ISBLANK(Q22),0,Q22)</f>
        <v/>
      </c>
      <c r="S22" s="13" t="n"/>
      <c r="T22" s="14" t="n"/>
      <c r="U22" s="25" t="n"/>
      <c r="V22" s="25">
        <f>V21+IF(ISBLANK(U22),0,U22)</f>
        <v/>
      </c>
      <c r="W22" s="26">
        <f>IF(ISBLANK(E22),0,E22)+IF(ISBLANK(I22),0,I22)+IF(ISBLANK(M22),0,M22)+IF(ISBLANK(Q22),0,Q22)+IF(ISBLANK(U22),0,U22)</f>
        <v/>
      </c>
      <c r="X22" s="26">
        <f>F22+J22+N22+R22+V22</f>
        <v/>
      </c>
      <c r="Y22" s="19" t="n"/>
    </row>
    <row r="23" ht="22" customHeight="1">
      <c r="A23" s="27" t="n">
        <v>46197</v>
      </c>
      <c r="B23" s="22" t="inlineStr">
        <is>
          <t>Mié</t>
        </is>
      </c>
      <c r="C23" s="16" t="n"/>
      <c r="D23" s="17" t="n"/>
      <c r="E23" s="28" t="n"/>
      <c r="F23" s="28">
        <f>F22+IF(ISBLANK(E23),0,E23)</f>
        <v/>
      </c>
      <c r="G23" s="16" t="n"/>
      <c r="H23" s="17" t="n"/>
      <c r="I23" s="28" t="n"/>
      <c r="J23" s="28">
        <f>J22+IF(ISBLANK(I23),0,I23)</f>
        <v/>
      </c>
      <c r="K23" s="16" t="n"/>
      <c r="L23" s="17" t="n"/>
      <c r="M23" s="28" t="n"/>
      <c r="N23" s="28">
        <f>N22+IF(ISBLANK(M23),0,M23)</f>
        <v/>
      </c>
      <c r="O23" s="16" t="n"/>
      <c r="P23" s="17" t="n"/>
      <c r="Q23" s="28" t="n"/>
      <c r="R23" s="28">
        <f>R22+IF(ISBLANK(Q23),0,Q23)</f>
        <v/>
      </c>
      <c r="S23" s="16" t="n"/>
      <c r="T23" s="17" t="n"/>
      <c r="U23" s="28" t="n"/>
      <c r="V23" s="28">
        <f>V22+IF(ISBLANK(U23),0,U23)</f>
        <v/>
      </c>
      <c r="W23" s="29">
        <f>IF(ISBLANK(E23),0,E23)+IF(ISBLANK(I23),0,I23)+IF(ISBLANK(M23),0,M23)+IF(ISBLANK(Q23),0,Q23)+IF(ISBLANK(U23),0,U23)</f>
        <v/>
      </c>
      <c r="X23" s="29">
        <f>F23+J23+N23+R23+V23</f>
        <v/>
      </c>
      <c r="Y23" s="23" t="n"/>
    </row>
    <row r="24" ht="22" customHeight="1">
      <c r="A24" s="24" t="n">
        <v>46198</v>
      </c>
      <c r="B24" s="18" t="inlineStr">
        <is>
          <t>Jue</t>
        </is>
      </c>
      <c r="C24" s="13" t="n"/>
      <c r="D24" s="14" t="n"/>
      <c r="E24" s="25" t="n"/>
      <c r="F24" s="25">
        <f>F23+IF(ISBLANK(E24),0,E24)</f>
        <v/>
      </c>
      <c r="G24" s="13" t="n"/>
      <c r="H24" s="14" t="n"/>
      <c r="I24" s="25" t="n"/>
      <c r="J24" s="25">
        <f>J23+IF(ISBLANK(I24),0,I24)</f>
        <v/>
      </c>
      <c r="K24" s="13" t="n"/>
      <c r="L24" s="14" t="n"/>
      <c r="M24" s="25" t="n"/>
      <c r="N24" s="25">
        <f>N23+IF(ISBLANK(M24),0,M24)</f>
        <v/>
      </c>
      <c r="O24" s="13" t="n"/>
      <c r="P24" s="14" t="n"/>
      <c r="Q24" s="25" t="n"/>
      <c r="R24" s="25">
        <f>R23+IF(ISBLANK(Q24),0,Q24)</f>
        <v/>
      </c>
      <c r="S24" s="13" t="n"/>
      <c r="T24" s="14" t="n"/>
      <c r="U24" s="25" t="n"/>
      <c r="V24" s="25">
        <f>V23+IF(ISBLANK(U24),0,U24)</f>
        <v/>
      </c>
      <c r="W24" s="26">
        <f>IF(ISBLANK(E24),0,E24)+IF(ISBLANK(I24),0,I24)+IF(ISBLANK(M24),0,M24)+IF(ISBLANK(Q24),0,Q24)+IF(ISBLANK(U24),0,U24)</f>
        <v/>
      </c>
      <c r="X24" s="26">
        <f>F24+J24+N24+R24+V24</f>
        <v/>
      </c>
      <c r="Y24" s="19" t="n"/>
    </row>
    <row r="25" ht="22" customHeight="1">
      <c r="A25" s="27" t="n">
        <v>46199</v>
      </c>
      <c r="B25" s="22" t="inlineStr">
        <is>
          <t>Vie</t>
        </is>
      </c>
      <c r="C25" s="16" t="n"/>
      <c r="D25" s="17" t="n"/>
      <c r="E25" s="28" t="n"/>
      <c r="F25" s="28">
        <f>F24+IF(ISBLANK(E25),0,E25)</f>
        <v/>
      </c>
      <c r="G25" s="16" t="n"/>
      <c r="H25" s="17" t="n"/>
      <c r="I25" s="28" t="n"/>
      <c r="J25" s="28">
        <f>J24+IF(ISBLANK(I25),0,I25)</f>
        <v/>
      </c>
      <c r="K25" s="16" t="n"/>
      <c r="L25" s="17" t="n"/>
      <c r="M25" s="28" t="n"/>
      <c r="N25" s="28">
        <f>N24+IF(ISBLANK(M25),0,M25)</f>
        <v/>
      </c>
      <c r="O25" s="16" t="n"/>
      <c r="P25" s="17" t="n"/>
      <c r="Q25" s="28" t="n"/>
      <c r="R25" s="28">
        <f>R24+IF(ISBLANK(Q25),0,Q25)</f>
        <v/>
      </c>
      <c r="S25" s="16" t="n"/>
      <c r="T25" s="17" t="n"/>
      <c r="U25" s="28" t="n"/>
      <c r="V25" s="28">
        <f>V24+IF(ISBLANK(U25),0,U25)</f>
        <v/>
      </c>
      <c r="W25" s="29">
        <f>IF(ISBLANK(E25),0,E25)+IF(ISBLANK(I25),0,I25)+IF(ISBLANK(M25),0,M25)+IF(ISBLANK(Q25),0,Q25)+IF(ISBLANK(U25),0,U25)</f>
        <v/>
      </c>
      <c r="X25" s="29">
        <f>F25+J25+N25+R25+V25</f>
        <v/>
      </c>
      <c r="Y25" s="23" t="n"/>
    </row>
    <row r="26" ht="22" customHeight="1">
      <c r="A26" s="30" t="n">
        <v>46200</v>
      </c>
      <c r="B26" s="31" t="inlineStr">
        <is>
          <t>Sáb</t>
        </is>
      </c>
      <c r="C26" s="32" t="n"/>
      <c r="D26" s="33" t="n"/>
      <c r="E26" s="34" t="n"/>
      <c r="F26" s="34">
        <f>F25+IF(ISBLANK(E26),0,E26)</f>
        <v/>
      </c>
      <c r="G26" s="32" t="n"/>
      <c r="H26" s="33" t="n"/>
      <c r="I26" s="34" t="n"/>
      <c r="J26" s="34">
        <f>J25+IF(ISBLANK(I26),0,I26)</f>
        <v/>
      </c>
      <c r="K26" s="32" t="n"/>
      <c r="L26" s="33" t="n"/>
      <c r="M26" s="34" t="n"/>
      <c r="N26" s="34">
        <f>N25+IF(ISBLANK(M26),0,M26)</f>
        <v/>
      </c>
      <c r="O26" s="32" t="n"/>
      <c r="P26" s="33" t="n"/>
      <c r="Q26" s="34" t="n"/>
      <c r="R26" s="34">
        <f>R25+IF(ISBLANK(Q26),0,Q26)</f>
        <v/>
      </c>
      <c r="S26" s="32" t="n"/>
      <c r="T26" s="33" t="n"/>
      <c r="U26" s="34" t="n"/>
      <c r="V26" s="34">
        <f>V25+IF(ISBLANK(U26),0,U26)</f>
        <v/>
      </c>
      <c r="W26" s="35">
        <f>IF(ISBLANK(E26),0,E26)+IF(ISBLANK(I26),0,I26)+IF(ISBLANK(M26),0,M26)+IF(ISBLANK(Q26),0,Q26)+IF(ISBLANK(U26),0,U26)</f>
        <v/>
      </c>
      <c r="X26" s="35">
        <f>F26+J26+N26+R26+V26</f>
        <v/>
      </c>
      <c r="Y26" s="36" t="n"/>
    </row>
    <row r="27" ht="22" customHeight="1">
      <c r="A27" s="30" t="n">
        <v>46201</v>
      </c>
      <c r="B27" s="31" t="inlineStr">
        <is>
          <t>Dom</t>
        </is>
      </c>
      <c r="C27" s="32" t="n"/>
      <c r="D27" s="33" t="n"/>
      <c r="E27" s="34" t="n"/>
      <c r="F27" s="34">
        <f>F26+IF(ISBLANK(E27),0,E27)</f>
        <v/>
      </c>
      <c r="G27" s="32" t="n"/>
      <c r="H27" s="33" t="n"/>
      <c r="I27" s="34" t="n"/>
      <c r="J27" s="34">
        <f>J26+IF(ISBLANK(I27),0,I27)</f>
        <v/>
      </c>
      <c r="K27" s="32" t="n"/>
      <c r="L27" s="33" t="n"/>
      <c r="M27" s="34" t="n"/>
      <c r="N27" s="34">
        <f>N26+IF(ISBLANK(M27),0,M27)</f>
        <v/>
      </c>
      <c r="O27" s="32" t="n"/>
      <c r="P27" s="33" t="n"/>
      <c r="Q27" s="34" t="n"/>
      <c r="R27" s="34">
        <f>R26+IF(ISBLANK(Q27),0,Q27)</f>
        <v/>
      </c>
      <c r="S27" s="32" t="n"/>
      <c r="T27" s="33" t="n"/>
      <c r="U27" s="34" t="n"/>
      <c r="V27" s="34">
        <f>V26+IF(ISBLANK(U27),0,U27)</f>
        <v/>
      </c>
      <c r="W27" s="35">
        <f>IF(ISBLANK(E27),0,E27)+IF(ISBLANK(I27),0,I27)+IF(ISBLANK(M27),0,M27)+IF(ISBLANK(Q27),0,Q27)+IF(ISBLANK(U27),0,U27)</f>
        <v/>
      </c>
      <c r="X27" s="35">
        <f>F27+J27+N27+R27+V27</f>
        <v/>
      </c>
      <c r="Y27" s="36" t="n"/>
    </row>
    <row r="28" ht="22" customHeight="1">
      <c r="A28" s="24" t="n">
        <v>46202</v>
      </c>
      <c r="B28" s="18" t="inlineStr">
        <is>
          <t>Lun</t>
        </is>
      </c>
      <c r="C28" s="13" t="n"/>
      <c r="D28" s="14" t="n"/>
      <c r="E28" s="25" t="n"/>
      <c r="F28" s="25">
        <f>F27+IF(ISBLANK(E28),0,E28)</f>
        <v/>
      </c>
      <c r="G28" s="13" t="n"/>
      <c r="H28" s="14" t="n"/>
      <c r="I28" s="25" t="n"/>
      <c r="J28" s="25">
        <f>J27+IF(ISBLANK(I28),0,I28)</f>
        <v/>
      </c>
      <c r="K28" s="13" t="n"/>
      <c r="L28" s="14" t="n"/>
      <c r="M28" s="25" t="n"/>
      <c r="N28" s="25">
        <f>N27+IF(ISBLANK(M28),0,M28)</f>
        <v/>
      </c>
      <c r="O28" s="13" t="n"/>
      <c r="P28" s="14" t="n"/>
      <c r="Q28" s="25" t="n"/>
      <c r="R28" s="25">
        <f>R27+IF(ISBLANK(Q28),0,Q28)</f>
        <v/>
      </c>
      <c r="S28" s="13" t="n"/>
      <c r="T28" s="14" t="n"/>
      <c r="U28" s="25" t="n"/>
      <c r="V28" s="25">
        <f>V27+IF(ISBLANK(U28),0,U28)</f>
        <v/>
      </c>
      <c r="W28" s="26">
        <f>IF(ISBLANK(E28),0,E28)+IF(ISBLANK(I28),0,I28)+IF(ISBLANK(M28),0,M28)+IF(ISBLANK(Q28),0,Q28)+IF(ISBLANK(U28),0,U28)</f>
        <v/>
      </c>
      <c r="X28" s="26">
        <f>F28+J28+N28+R28+V28</f>
        <v/>
      </c>
      <c r="Y28" s="19" t="n"/>
    </row>
    <row r="29" ht="22" customHeight="1">
      <c r="A29" s="27" t="n">
        <v>46203</v>
      </c>
      <c r="B29" s="22" t="inlineStr">
        <is>
          <t>Mar</t>
        </is>
      </c>
      <c r="C29" s="16" t="n"/>
      <c r="D29" s="17" t="n"/>
      <c r="E29" s="28" t="n"/>
      <c r="F29" s="28">
        <f>F28+IF(ISBLANK(E29),0,E29)</f>
        <v/>
      </c>
      <c r="G29" s="16" t="n"/>
      <c r="H29" s="17" t="n"/>
      <c r="I29" s="28" t="n"/>
      <c r="J29" s="28">
        <f>J28+IF(ISBLANK(I29),0,I29)</f>
        <v/>
      </c>
      <c r="K29" s="16" t="n"/>
      <c r="L29" s="17" t="n"/>
      <c r="M29" s="28" t="n"/>
      <c r="N29" s="28">
        <f>N28+IF(ISBLANK(M29),0,M29)</f>
        <v/>
      </c>
      <c r="O29" s="16" t="n"/>
      <c r="P29" s="17" t="n"/>
      <c r="Q29" s="28" t="n"/>
      <c r="R29" s="28">
        <f>R28+IF(ISBLANK(Q29),0,Q29)</f>
        <v/>
      </c>
      <c r="S29" s="16" t="n"/>
      <c r="T29" s="17" t="n"/>
      <c r="U29" s="28" t="n"/>
      <c r="V29" s="28">
        <f>V28+IF(ISBLANK(U29),0,U29)</f>
        <v/>
      </c>
      <c r="W29" s="29">
        <f>IF(ISBLANK(E29),0,E29)+IF(ISBLANK(I29),0,I29)+IF(ISBLANK(M29),0,M29)+IF(ISBLANK(Q29),0,Q29)+IF(ISBLANK(U29),0,U29)</f>
        <v/>
      </c>
      <c r="X29" s="29">
        <f>F29+J29+N29+R29+V29</f>
        <v/>
      </c>
      <c r="Y29" s="23" t="n"/>
    </row>
    <row r="30" ht="22" customHeight="1">
      <c r="A30" s="24" t="n">
        <v>46204</v>
      </c>
      <c r="B30" s="18" t="inlineStr">
        <is>
          <t>Mié</t>
        </is>
      </c>
      <c r="C30" s="13" t="n"/>
      <c r="D30" s="14" t="n"/>
      <c r="E30" s="25" t="n"/>
      <c r="F30" s="25">
        <f>F29+IF(ISBLANK(E30),0,E30)</f>
        <v/>
      </c>
      <c r="G30" s="13" t="n"/>
      <c r="H30" s="14" t="n"/>
      <c r="I30" s="25" t="n"/>
      <c r="J30" s="25">
        <f>J29+IF(ISBLANK(I30),0,I30)</f>
        <v/>
      </c>
      <c r="K30" s="13" t="n"/>
      <c r="L30" s="14" t="n"/>
      <c r="M30" s="25" t="n"/>
      <c r="N30" s="25">
        <f>N29+IF(ISBLANK(M30),0,M30)</f>
        <v/>
      </c>
      <c r="O30" s="13" t="n"/>
      <c r="P30" s="14" t="n"/>
      <c r="Q30" s="25" t="n"/>
      <c r="R30" s="25">
        <f>R29+IF(ISBLANK(Q30),0,Q30)</f>
        <v/>
      </c>
      <c r="S30" s="13" t="n"/>
      <c r="T30" s="14" t="n"/>
      <c r="U30" s="25" t="n"/>
      <c r="V30" s="25">
        <f>V29+IF(ISBLANK(U30),0,U30)</f>
        <v/>
      </c>
      <c r="W30" s="26">
        <f>IF(ISBLANK(E30),0,E30)+IF(ISBLANK(I30),0,I30)+IF(ISBLANK(M30),0,M30)+IF(ISBLANK(Q30),0,Q30)+IF(ISBLANK(U30),0,U30)</f>
        <v/>
      </c>
      <c r="X30" s="26">
        <f>F30+J30+N30+R30+V30</f>
        <v/>
      </c>
      <c r="Y30" s="19" t="n"/>
    </row>
    <row r="31" ht="22" customHeight="1">
      <c r="A31" s="27" t="n">
        <v>46205</v>
      </c>
      <c r="B31" s="22" t="inlineStr">
        <is>
          <t>Jue</t>
        </is>
      </c>
      <c r="C31" s="16" t="n"/>
      <c r="D31" s="17" t="n"/>
      <c r="E31" s="28" t="n"/>
      <c r="F31" s="28">
        <f>F30+IF(ISBLANK(E31),0,E31)</f>
        <v/>
      </c>
      <c r="G31" s="16" t="n"/>
      <c r="H31" s="17" t="n"/>
      <c r="I31" s="28" t="n"/>
      <c r="J31" s="28">
        <f>J30+IF(ISBLANK(I31),0,I31)</f>
        <v/>
      </c>
      <c r="K31" s="16" t="n"/>
      <c r="L31" s="17" t="n"/>
      <c r="M31" s="28" t="n"/>
      <c r="N31" s="28">
        <f>N30+IF(ISBLANK(M31),0,M31)</f>
        <v/>
      </c>
      <c r="O31" s="16" t="n"/>
      <c r="P31" s="17" t="n"/>
      <c r="Q31" s="28" t="n"/>
      <c r="R31" s="28">
        <f>R30+IF(ISBLANK(Q31),0,Q31)</f>
        <v/>
      </c>
      <c r="S31" s="16" t="n"/>
      <c r="T31" s="17" t="n"/>
      <c r="U31" s="28" t="n"/>
      <c r="V31" s="28">
        <f>V30+IF(ISBLANK(U31),0,U31)</f>
        <v/>
      </c>
      <c r="W31" s="29">
        <f>IF(ISBLANK(E31),0,E31)+IF(ISBLANK(I31),0,I31)+IF(ISBLANK(M31),0,M31)+IF(ISBLANK(Q31),0,Q31)+IF(ISBLANK(U31),0,U31)</f>
        <v/>
      </c>
      <c r="X31" s="29">
        <f>F31+J31+N31+R31+V31</f>
        <v/>
      </c>
      <c r="Y31" s="23" t="n"/>
    </row>
    <row r="32" ht="22" customHeight="1">
      <c r="A32" s="24" t="n">
        <v>46206</v>
      </c>
      <c r="B32" s="18" t="inlineStr">
        <is>
          <t>Vie</t>
        </is>
      </c>
      <c r="C32" s="13" t="n"/>
      <c r="D32" s="14" t="n"/>
      <c r="E32" s="25" t="n"/>
      <c r="F32" s="25">
        <f>F31+IF(ISBLANK(E32),0,E32)</f>
        <v/>
      </c>
      <c r="G32" s="13" t="n"/>
      <c r="H32" s="14" t="n"/>
      <c r="I32" s="25" t="n"/>
      <c r="J32" s="25">
        <f>J31+IF(ISBLANK(I32),0,I32)</f>
        <v/>
      </c>
      <c r="K32" s="13" t="n"/>
      <c r="L32" s="14" t="n"/>
      <c r="M32" s="25" t="n"/>
      <c r="N32" s="25">
        <f>N31+IF(ISBLANK(M32),0,M32)</f>
        <v/>
      </c>
      <c r="O32" s="13" t="n"/>
      <c r="P32" s="14" t="n"/>
      <c r="Q32" s="25" t="n"/>
      <c r="R32" s="25">
        <f>R31+IF(ISBLANK(Q32),0,Q32)</f>
        <v/>
      </c>
      <c r="S32" s="13" t="n"/>
      <c r="T32" s="14" t="n"/>
      <c r="U32" s="25" t="n"/>
      <c r="V32" s="25">
        <f>V31+IF(ISBLANK(U32),0,U32)</f>
        <v/>
      </c>
      <c r="W32" s="26">
        <f>IF(ISBLANK(E32),0,E32)+IF(ISBLANK(I32),0,I32)+IF(ISBLANK(M32),0,M32)+IF(ISBLANK(Q32),0,Q32)+IF(ISBLANK(U32),0,U32)</f>
        <v/>
      </c>
      <c r="X32" s="26">
        <f>F32+J32+N32+R32+V32</f>
        <v/>
      </c>
      <c r="Y32" s="19" t="n"/>
    </row>
  </sheetData>
  <autoFilter ref="A1:Y32"/>
  <conditionalFormatting sqref="E3:E32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I3:I32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M3:M32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Q3:Q32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U3:U32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W3:W32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F3:F32">
    <cfRule type="cellIs" priority="13" operator="greaterThan" dxfId="0">
      <formula>100.0</formula>
    </cfRule>
    <cfRule type="cellIs" priority="14" operator="lessThan" dxfId="1">
      <formula>100.0</formula>
    </cfRule>
  </conditionalFormatting>
  <conditionalFormatting sqref="J3:J32">
    <cfRule type="cellIs" priority="15" operator="greaterThan" dxfId="0">
      <formula>100.0</formula>
    </cfRule>
    <cfRule type="cellIs" priority="16" operator="lessThan" dxfId="1">
      <formula>100.0</formula>
    </cfRule>
  </conditionalFormatting>
  <conditionalFormatting sqref="N3:N32">
    <cfRule type="cellIs" priority="17" operator="greaterThan" dxfId="0">
      <formula>100.0</formula>
    </cfRule>
    <cfRule type="cellIs" priority="18" operator="lessThan" dxfId="1">
      <formula>100.0</formula>
    </cfRule>
  </conditionalFormatting>
  <conditionalFormatting sqref="R3:R32">
    <cfRule type="cellIs" priority="19" operator="greaterThan" dxfId="0">
      <formula>100.0</formula>
    </cfRule>
    <cfRule type="cellIs" priority="20" operator="lessThan" dxfId="1">
      <formula>100.0</formula>
    </cfRule>
  </conditionalFormatting>
  <conditionalFormatting sqref="V3:V32">
    <cfRule type="cellIs" priority="21" operator="greaterThan" dxfId="0">
      <formula>100.0</formula>
    </cfRule>
    <cfRule type="cellIs" priority="22" operator="lessThan" dxfId="1">
      <formula>100.0</formula>
    </cfRule>
  </conditionalFormatting>
  <conditionalFormatting sqref="X3:X32">
    <cfRule type="cellIs" priority="23" operator="greaterThan" dxfId="0">
      <formula>500.0</formula>
    </cfRule>
    <cfRule type="cellIs" priority="24" operator="lessThan" dxfId="1">
      <formula>500.0</formula>
    </cfRule>
  </conditionalFormatting>
  <conditionalFormatting sqref="D3:D32">
    <cfRule type="cellIs" priority="25" operator="greaterThan" dxfId="2">
      <formula>0.65</formula>
    </cfRule>
    <cfRule type="cellIs" priority="26" operator="between" dxfId="3">
      <formula>0.55</formula>
      <formula>0.65</formula>
    </cfRule>
    <cfRule type="cellIs" priority="27" operator="between" dxfId="4">
      <formula>0.45</formula>
      <formula>0.5499</formula>
    </cfRule>
    <cfRule type="cellIs" priority="28" operator="lessThan" dxfId="5">
      <formula>0.45</formula>
    </cfRule>
  </conditionalFormatting>
  <conditionalFormatting sqref="H3:H32">
    <cfRule type="cellIs" priority="29" operator="greaterThan" dxfId="2">
      <formula>0.65</formula>
    </cfRule>
    <cfRule type="cellIs" priority="30" operator="between" dxfId="3">
      <formula>0.55</formula>
      <formula>0.65</formula>
    </cfRule>
    <cfRule type="cellIs" priority="31" operator="between" dxfId="4">
      <formula>0.45</formula>
      <formula>0.5499</formula>
    </cfRule>
    <cfRule type="cellIs" priority="32" operator="lessThan" dxfId="5">
      <formula>0.45</formula>
    </cfRule>
  </conditionalFormatting>
  <conditionalFormatting sqref="L3:L32">
    <cfRule type="cellIs" priority="33" operator="greaterThan" dxfId="2">
      <formula>0.65</formula>
    </cfRule>
    <cfRule type="cellIs" priority="34" operator="between" dxfId="3">
      <formula>0.55</formula>
      <formula>0.65</formula>
    </cfRule>
    <cfRule type="cellIs" priority="35" operator="between" dxfId="4">
      <formula>0.45</formula>
      <formula>0.5499</formula>
    </cfRule>
    <cfRule type="cellIs" priority="36" operator="lessThan" dxfId="5">
      <formula>0.45</formula>
    </cfRule>
  </conditionalFormatting>
  <conditionalFormatting sqref="P3:P32">
    <cfRule type="cellIs" priority="37" operator="greaterThan" dxfId="2">
      <formula>0.65</formula>
    </cfRule>
    <cfRule type="cellIs" priority="38" operator="between" dxfId="3">
      <formula>0.55</formula>
      <formula>0.65</formula>
    </cfRule>
    <cfRule type="cellIs" priority="39" operator="between" dxfId="4">
      <formula>0.45</formula>
      <formula>0.5499</formula>
    </cfRule>
    <cfRule type="cellIs" priority="40" operator="lessThan" dxfId="5">
      <formula>0.45</formula>
    </cfRule>
  </conditionalFormatting>
  <conditionalFormatting sqref="T3:T32">
    <cfRule type="cellIs" priority="41" operator="greaterThan" dxfId="2">
      <formula>0.65</formula>
    </cfRule>
    <cfRule type="cellIs" priority="42" operator="between" dxfId="3">
      <formula>0.55</formula>
      <formula>0.65</formula>
    </cfRule>
    <cfRule type="cellIs" priority="43" operator="between" dxfId="4">
      <formula>0.45</formula>
      <formula>0.5499</formula>
    </cfRule>
    <cfRule type="cellIs" priority="44" operator="lessThan" dxfId="5">
      <formula>0.45</formula>
    </cfRule>
  </conditionalFormatting>
  <conditionalFormatting sqref="A3:Y32">
    <cfRule type="expression" priority="45" dxfId="6">
      <formula>OR($B3="Sáb",$B3="Dom")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B45309"/>
    <outlinePr summaryBelow="1" summaryRight="1"/>
    <pageSetUpPr/>
  </sheetPr>
  <dimension ref="A1:H9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38" customWidth="1" min="3" max="3"/>
    <col width="14" customWidth="1" min="4" max="4"/>
    <col width="18" customWidth="1" min="5" max="5"/>
    <col width="14" customWidth="1" min="6" max="6"/>
    <col width="14" customWidth="1" min="7" max="7"/>
    <col width="50" customWidth="1" min="8" max="8"/>
  </cols>
  <sheetData>
    <row r="1" ht="34" customHeight="1">
      <c r="A1" s="1" t="inlineStr">
        <is>
          <t>⚙️  Configuración de los 5 bots</t>
        </is>
      </c>
    </row>
    <row r="2" ht="20" customHeight="1">
      <c r="A2" s="2" t="inlineStr">
        <is>
          <t>Cifras esperadas según backtest de mayo 2026. La realidad puede variar — usar como referencia.</t>
        </is>
      </c>
    </row>
    <row r="4" ht="32" customHeight="1">
      <c r="A4" s="4" t="inlineStr">
        <is>
          <t>Nombre</t>
        </is>
      </c>
      <c r="B4" s="4" t="inlineStr">
        <is>
          <t>Threshold</t>
        </is>
      </c>
      <c r="C4" s="4" t="inlineStr">
        <is>
          <t>Filtros</t>
        </is>
      </c>
      <c r="D4" s="4" t="inlineStr">
        <is>
          <t>WR esperado</t>
        </is>
      </c>
      <c r="E4" s="4" t="inlineStr">
        <is>
          <t>Profit esp. mensual</t>
        </is>
      </c>
      <c r="F4" s="4" t="inlineStr">
        <is>
          <t>DD máx esp.</t>
        </is>
      </c>
      <c r="G4" s="4" t="inlineStr">
        <is>
          <t>Trades/día</t>
        </is>
      </c>
      <c r="H4" s="4" t="inlineStr">
        <is>
          <t>Notas</t>
        </is>
      </c>
    </row>
    <row r="5" ht="40" customHeight="1">
      <c r="A5" s="5" t="inlineStr">
        <is>
          <t>V1 Alerts</t>
        </is>
      </c>
      <c r="B5" s="37" t="inlineStr">
        <is>
          <t>5pp</t>
        </is>
      </c>
      <c r="C5" s="19" t="inlineStr">
        <is>
          <t>Sin filtros (24/7)</t>
        </is>
      </c>
      <c r="D5" s="14" t="n">
        <v>0.545</v>
      </c>
      <c r="E5" s="38" t="n">
        <v>2600</v>
      </c>
      <c r="F5" s="39" t="n">
        <v>-0.52</v>
      </c>
      <c r="G5" s="13" t="n">
        <v>76</v>
      </c>
      <c r="H5" s="19" t="inlineStr">
        <is>
          <t>Alto volumen, alto riesgo. Validar drawdown real.</t>
        </is>
      </c>
    </row>
    <row r="6" ht="40" customHeight="1">
      <c r="A6" s="7" t="inlineStr">
        <is>
          <t>V2B Selective</t>
        </is>
      </c>
      <c r="B6" s="40" t="inlineStr">
        <is>
          <t>10pp</t>
        </is>
      </c>
      <c r="C6" s="23" t="inlineStr">
        <is>
          <t>Skip 21/23 UTC + skip sábado + vol min $5k</t>
        </is>
      </c>
      <c r="D6" s="17" t="n">
        <v>0.5820000000000001</v>
      </c>
      <c r="E6" s="41" t="n">
        <v>810</v>
      </c>
      <c r="F6" s="42" t="n">
        <v>-0.23</v>
      </c>
      <c r="G6" s="16" t="n">
        <v>12</v>
      </c>
      <c r="H6" s="23" t="inlineStr">
        <is>
          <t>Más selectivo, mejor WR esperado.</t>
        </is>
      </c>
    </row>
    <row r="7" ht="40" customHeight="1">
      <c r="A7" s="5" t="inlineStr">
        <is>
          <t>V4A Endgame 30pp</t>
        </is>
      </c>
      <c r="B7" s="37" t="inlineStr">
        <is>
          <t>30pp</t>
        </is>
      </c>
      <c r="C7" s="19" t="inlineStr">
        <is>
          <t>Últimos 5 min del mercado</t>
        </is>
      </c>
      <c r="D7" s="14" t="n">
        <v>0.638</v>
      </c>
      <c r="E7" s="38" t="n">
        <v>680</v>
      </c>
      <c r="F7" s="39" t="n">
        <v>-0.1</v>
      </c>
      <c r="G7" s="13" t="n">
        <v>8</v>
      </c>
      <c r="H7" s="19" t="inlineStr">
        <is>
          <t>Endgame: mucha edge en cierre. DD bajo.</t>
        </is>
      </c>
    </row>
    <row r="8" ht="40" customHeight="1">
      <c r="A8" s="7" t="inlineStr">
        <is>
          <t>V4B Endgame 40pp</t>
        </is>
      </c>
      <c r="B8" s="40" t="inlineStr">
        <is>
          <t>40pp</t>
        </is>
      </c>
      <c r="C8" s="23" t="inlineStr">
        <is>
          <t>Últimos 5 min, threshold más alto</t>
        </is>
      </c>
      <c r="D8" s="17" t="n">
        <v>0.66</v>
      </c>
      <c r="E8" s="41" t="n">
        <v>304</v>
      </c>
      <c r="F8" s="42" t="n">
        <v>-0.08</v>
      </c>
      <c r="G8" s="16" t="n">
        <v>3</v>
      </c>
      <c r="H8" s="23" t="inlineStr">
        <is>
          <t>Versión tight. Pocos trades pero alta WR.</t>
        </is>
      </c>
    </row>
    <row r="9" ht="40" customHeight="1">
      <c r="A9" s="5" t="inlineStr">
        <is>
          <t>V4C SOL-only</t>
        </is>
      </c>
      <c r="B9" s="37" t="inlineStr">
        <is>
          <t>30pp</t>
        </is>
      </c>
      <c r="C9" s="19" t="inlineStr">
        <is>
          <t>Últimos 5 min, sólo mercados SOL</t>
        </is>
      </c>
      <c r="D9" s="14" t="n">
        <v>0.675</v>
      </c>
      <c r="E9" s="38" t="n">
        <v>183</v>
      </c>
      <c r="F9" s="39" t="n">
        <v>-0.07000000000000001</v>
      </c>
      <c r="G9" s="13" t="n">
        <v>2</v>
      </c>
      <c r="H9" s="19" t="inlineStr">
        <is>
          <t>Nicho SOL. Pocos trades. Buen edge histórico.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6D28D9"/>
    <outlinePr summaryBelow="1" summaryRight="1"/>
    <pageSetUpPr/>
  </sheetPr>
  <dimension ref="A1:M9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  <col width="14" customWidth="1" min="4" max="4"/>
    <col width="14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  <col width="10" customWidth="1" min="11" max="11"/>
    <col width="10" customWidth="1" min="12" max="12"/>
    <col width="14" customWidth="1" min="13" max="13"/>
  </cols>
  <sheetData>
    <row r="1" ht="34" customHeight="1">
      <c r="A1" s="1" t="inlineStr">
        <is>
          <t>🗓️  Backtest detallado — Mayo 2026</t>
        </is>
      </c>
    </row>
    <row r="2" ht="20" customHeight="1">
      <c r="A2" s="2" t="inlineStr">
        <is>
          <t>Resultados simulados con stake $10, bankroll inicial $100 por bot, datos reales de Polymarket de mayo 2026.</t>
        </is>
      </c>
    </row>
    <row r="4" ht="28" customHeight="1">
      <c r="A4" s="4" t="inlineStr">
        <is>
          <t>Bot</t>
        </is>
      </c>
      <c r="B4" s="4" t="inlineStr">
        <is>
          <t>Trades</t>
        </is>
      </c>
      <c r="C4" s="4" t="inlineStr">
        <is>
          <t>WR %</t>
        </is>
      </c>
      <c r="D4" s="4" t="inlineStr">
        <is>
          <t>Profit USD</t>
        </is>
      </c>
      <c r="E4" s="4" t="inlineStr">
        <is>
          <t>Bankroll final</t>
        </is>
      </c>
      <c r="F4" s="4" t="inlineStr">
        <is>
          <t>ROI %</t>
        </is>
      </c>
      <c r="G4" s="4" t="inlineStr">
        <is>
          <t>Mejor trade</t>
        </is>
      </c>
      <c r="H4" s="4" t="inlineStr">
        <is>
          <t>Peor trade</t>
        </is>
      </c>
      <c r="I4" s="4" t="inlineStr">
        <is>
          <t>DD máx USD</t>
        </is>
      </c>
      <c r="J4" s="4" t="inlineStr">
        <is>
          <t>DD máx %</t>
        </is>
      </c>
      <c r="K4" s="4" t="inlineStr">
        <is>
          <t>Días +</t>
        </is>
      </c>
      <c r="L4" s="4" t="inlineStr">
        <is>
          <t>Días -</t>
        </is>
      </c>
      <c r="M4" s="4" t="inlineStr">
        <is>
          <t>Profit Factor</t>
        </is>
      </c>
    </row>
    <row r="5" ht="24" customHeight="1">
      <c r="A5" s="5" t="inlineStr">
        <is>
          <t>V1 Alerts (5pp, sin filtros)</t>
        </is>
      </c>
      <c r="B5" s="13" t="n">
        <v>2235</v>
      </c>
      <c r="C5" s="14" t="n">
        <v>0.5351230425055928</v>
      </c>
      <c r="D5" s="43" t="n">
        <v>3441.34</v>
      </c>
      <c r="E5" s="43" t="n">
        <v>3541.34</v>
      </c>
      <c r="F5" s="14" t="n">
        <v>34.41336435267866</v>
      </c>
      <c r="G5" s="44" t="n">
        <v>37.41</v>
      </c>
      <c r="H5" s="44" t="n">
        <v>-10.21</v>
      </c>
      <c r="I5" s="44" t="n">
        <v>-200.2</v>
      </c>
      <c r="J5" s="14" t="n">
        <v>-0.07347284089975505</v>
      </c>
      <c r="K5" s="13" t="n">
        <v>24</v>
      </c>
      <c r="L5" s="13" t="n">
        <v>2</v>
      </c>
      <c r="M5" s="45" t="n">
        <v>1.32</v>
      </c>
    </row>
    <row r="6" ht="24" customHeight="1">
      <c r="A6" s="7" t="inlineStr">
        <is>
          <t>V2B Selective (10pp + skip)</t>
        </is>
      </c>
      <c r="B6" s="16" t="n">
        <v>332</v>
      </c>
      <c r="C6" s="17" t="n">
        <v>0.539156626506024</v>
      </c>
      <c r="D6" s="46" t="n">
        <v>598.8</v>
      </c>
      <c r="E6" s="46" t="n">
        <v>698.8</v>
      </c>
      <c r="F6" s="17" t="n">
        <v>5.988024971972745</v>
      </c>
      <c r="G6" s="47" t="n">
        <v>33.27</v>
      </c>
      <c r="H6" s="47" t="n">
        <v>-10.21</v>
      </c>
      <c r="I6" s="47" t="n">
        <v>-138.88</v>
      </c>
      <c r="J6" s="17" t="n">
        <v>-0.2049227847450741</v>
      </c>
      <c r="K6" s="16" t="n">
        <v>17</v>
      </c>
      <c r="L6" s="16" t="n">
        <v>5</v>
      </c>
      <c r="M6" s="48" t="n">
        <v>1.38</v>
      </c>
    </row>
    <row r="7" ht="24" customHeight="1">
      <c r="A7" s="5" t="inlineStr">
        <is>
          <t>V4A Endgame 30pp</t>
        </is>
      </c>
      <c r="B7" s="13" t="n">
        <v>158</v>
      </c>
      <c r="C7" s="14" t="n">
        <v>0.6012658227848101</v>
      </c>
      <c r="D7" s="43" t="n">
        <v>3430.86</v>
      </c>
      <c r="E7" s="43" t="n">
        <v>3530.86</v>
      </c>
      <c r="F7" s="14" t="n">
        <v>34.30855380334481</v>
      </c>
      <c r="G7" s="44" t="n">
        <v>489.8</v>
      </c>
      <c r="H7" s="44" t="n">
        <v>-10.21</v>
      </c>
      <c r="I7" s="44" t="n">
        <v>-61.23</v>
      </c>
      <c r="J7" s="14" t="n">
        <v>-0.01939258564461816</v>
      </c>
      <c r="K7" s="13" t="n">
        <v>22</v>
      </c>
      <c r="L7" s="13" t="n">
        <v>3</v>
      </c>
      <c r="M7" s="45" t="n">
        <v>6.34</v>
      </c>
    </row>
    <row r="8" ht="24" customHeight="1">
      <c r="A8" s="7" t="inlineStr">
        <is>
          <t>V4B Endgame 40pp</t>
        </is>
      </c>
      <c r="B8" s="16" t="n">
        <v>54</v>
      </c>
      <c r="C8" s="17" t="n">
        <v>0.7222222222222223</v>
      </c>
      <c r="D8" s="46" t="n">
        <v>1854.42</v>
      </c>
      <c r="E8" s="46" t="n">
        <v>1954.42</v>
      </c>
      <c r="F8" s="17" t="n">
        <v>18.54421557920138</v>
      </c>
      <c r="G8" s="47" t="n">
        <v>489.8</v>
      </c>
      <c r="H8" s="47" t="n">
        <v>-10.21</v>
      </c>
      <c r="I8" s="47" t="n">
        <v>-40.82</v>
      </c>
      <c r="J8" s="17" t="n">
        <v>-0.02221830202663479</v>
      </c>
      <c r="K8" s="16" t="n">
        <v>18</v>
      </c>
      <c r="L8" s="16" t="n">
        <v>2</v>
      </c>
      <c r="M8" s="48" t="n">
        <v>13.11</v>
      </c>
    </row>
    <row r="9" ht="24" customHeight="1">
      <c r="A9" s="5" t="inlineStr">
        <is>
          <t>V4C SOL-only 30pp</t>
        </is>
      </c>
      <c r="B9" s="13" t="n">
        <v>40</v>
      </c>
      <c r="C9" s="14" t="n">
        <v>0.55</v>
      </c>
      <c r="D9" s="43" t="n">
        <v>532.5700000000001</v>
      </c>
      <c r="E9" s="43" t="n">
        <v>632.5700000000001</v>
      </c>
      <c r="F9" s="14" t="n">
        <v>5.325709995716887</v>
      </c>
      <c r="G9" s="44" t="n">
        <v>189.79</v>
      </c>
      <c r="H9" s="44" t="n">
        <v>-10.21</v>
      </c>
      <c r="I9" s="44" t="n">
        <v>-46.94</v>
      </c>
      <c r="J9" s="14" t="n">
        <v>-0.1457082407680273</v>
      </c>
      <c r="K9" s="13" t="n">
        <v>14</v>
      </c>
      <c r="L9" s="13" t="n">
        <v>8</v>
      </c>
      <c r="M9" s="45" t="n">
        <v>3.9</v>
      </c>
    </row>
  </sheetData>
  <mergeCells count="2">
    <mergeCell ref="A2:L2"/>
    <mergeCell ref="A1:L1"/>
  </mergeCells>
  <conditionalFormatting sqref="D5:D9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F5:F9">
    <cfRule type="cellIs" priority="3" operator="greaterThan" dxfId="0">
      <formula>0</formula>
    </cfRule>
  </conditionalFormatting>
  <conditionalFormatting sqref="I5:I9">
    <cfRule type="cellIs" priority="4" operator="lessThan" dxfId="1">
      <formula>0</formula>
    </cfRule>
  </conditionalFormatting>
  <conditionalFormatting sqref="J5:J9">
    <cfRule type="cellIs" priority="5" operator="lessThan" dxfId="1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2026-06-03T20:51:53Z</dcterms:created>
  <dcterms:modified xmlns:dcterms="http://purl.org/dc/terms/" xmlns:xsi="http://www.w3.org/2001/XMLSchema-instance" xsi:type="dcterms:W3CDTF">2026-06-03T20:51:53Z</dcterms:modified>
</cp:coreProperties>
</file>